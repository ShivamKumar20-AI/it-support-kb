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'Audit Log'!$A$1:$M$72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8CBAD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  <col width="16" customWidth="1" min="5" max="5"/>
    <col width="12" customWidth="1" min="6" max="6"/>
    <col width="12" customWidth="1" min="7" max="7"/>
    <col width="13" customWidth="1" min="8" max="8"/>
    <col width="28" customWidth="1" min="9" max="9"/>
    <col width="10" customWidth="1" min="10" max="10"/>
    <col width="9" customWidth="1" min="11" max="11"/>
    <col width="10" customWidth="1" min="12" max="12"/>
    <col width="22" customWidth="1" min="13" max="13"/>
  </cols>
  <sheetData>
    <row r="1">
      <c r="A1" s="1" t="inlineStr">
        <is>
          <t>Audit ID</t>
        </is>
      </c>
      <c r="B1" s="1" t="inlineStr">
        <is>
          <t>Date</t>
        </is>
      </c>
      <c r="C1" s="1" t="inlineStr">
        <is>
          <t>Area</t>
        </is>
      </c>
      <c r="D1" s="1" t="inlineStr">
        <is>
          <t>Audit type</t>
        </is>
      </c>
      <c r="E1" s="1" t="inlineStr">
        <is>
          <t>Original audit ID</t>
        </is>
      </c>
      <c r="F1" s="1" t="inlineStr">
        <is>
          <t>Auditor</t>
        </is>
      </c>
      <c r="G1" s="1" t="inlineStr">
        <is>
          <t>Checks done</t>
        </is>
      </c>
      <c r="H1" s="1" t="inlineStr">
        <is>
          <t>Checks passed</t>
        </is>
      </c>
      <c r="I1" s="1" t="inlineStr">
        <is>
          <t>Main finding</t>
        </is>
      </c>
      <c r="J1" s="1" t="inlineStr">
        <is>
          <t>Pass rate</t>
        </is>
      </c>
      <c r="K1" s="1" t="inlineStr">
        <is>
          <t>Result</t>
        </is>
      </c>
      <c r="L1" s="1" t="inlineStr">
        <is>
          <t>Month</t>
        </is>
      </c>
      <c r="M1" s="1" t="inlineStr">
        <is>
          <t>Confirmation status</t>
        </is>
      </c>
    </row>
    <row r="2">
      <c r="A2" t="inlineStr">
        <is>
          <t>A001</t>
        </is>
      </c>
      <c r="B2" s="2" t="n">
        <v>46209</v>
      </c>
      <c r="C2" t="inlineStr">
        <is>
          <t>Picking</t>
        </is>
      </c>
      <c r="D2" t="inlineStr">
        <is>
          <t>Routine</t>
        </is>
      </c>
      <c r="F2" t="inlineStr">
        <is>
          <t>Auditor A</t>
        </is>
      </c>
      <c r="G2" t="n">
        <v>12</v>
      </c>
      <c r="H2" t="n">
        <v>11</v>
      </c>
      <c r="J2" s="3">
        <f>H2/G2</f>
        <v/>
      </c>
      <c r="K2">
        <f>IF(J2&gt;=0.9,"Pass","Fail")</f>
        <v/>
      </c>
      <c r="L2">
        <f>TEXT(B2,"yyyy-mm")</f>
        <v/>
      </c>
      <c r="M2">
        <f>IF(AND(D2="Routine",K2="Fail"),IF(COUNTIFS($E$2:$E$72,A2,$K$2:$K$72,"Pass")&gt;0,"Closed",IF(COUNTIFS($E$2:$E$72,A2)&gt;0,"Re-failed","Awaiting confirmation")),"")</f>
        <v/>
      </c>
    </row>
    <row r="3">
      <c r="A3" t="inlineStr">
        <is>
          <t>A002</t>
        </is>
      </c>
      <c r="B3" s="2" t="n">
        <v>46210</v>
      </c>
      <c r="C3" t="inlineStr">
        <is>
          <t>Goods In</t>
        </is>
      </c>
      <c r="D3" t="inlineStr">
        <is>
          <t>Routine</t>
        </is>
      </c>
      <c r="F3" t="inlineStr">
        <is>
          <t>Auditor A</t>
        </is>
      </c>
      <c r="G3" t="n">
        <v>20</v>
      </c>
      <c r="H3" t="n">
        <v>19</v>
      </c>
      <c r="J3" s="3">
        <f>H3/G3</f>
        <v/>
      </c>
      <c r="K3">
        <f>IF(J3&gt;=0.9,"Pass","Fail")</f>
        <v/>
      </c>
      <c r="L3">
        <f>TEXT(B3,"yyyy-mm")</f>
        <v/>
      </c>
      <c r="M3">
        <f>IF(AND(D3="Routine",K3="Fail"),IF(COUNTIFS($E$2:$E$72,A3,$K$2:$K$72,"Pass")&gt;0,"Closed",IF(COUNTIFS($E$2:$E$72,A3)&gt;0,"Re-failed","Awaiting confirmation")),"")</f>
        <v/>
      </c>
    </row>
    <row r="4">
      <c r="A4" t="inlineStr">
        <is>
          <t>A003</t>
        </is>
      </c>
      <c r="B4" s="2" t="n">
        <v>46210</v>
      </c>
      <c r="C4" t="inlineStr">
        <is>
          <t>Hazardous Storage</t>
        </is>
      </c>
      <c r="D4" t="inlineStr">
        <is>
          <t>Routine</t>
        </is>
      </c>
      <c r="F4" t="inlineStr">
        <is>
          <t>Auditor B</t>
        </is>
      </c>
      <c r="G4" t="n">
        <v>10</v>
      </c>
      <c r="H4" t="n">
        <v>10</v>
      </c>
      <c r="J4" s="3">
        <f>H4/G4</f>
        <v/>
      </c>
      <c r="K4">
        <f>IF(J4&gt;=0.9,"Pass","Fail")</f>
        <v/>
      </c>
      <c r="L4">
        <f>TEXT(B4,"yyyy-mm")</f>
        <v/>
      </c>
      <c r="M4">
        <f>IF(AND(D4="Routine",K4="Fail"),IF(COUNTIFS($E$2:$E$72,A4,$K$2:$K$72,"Pass")&gt;0,"Closed",IF(COUNTIFS($E$2:$E$72,A4)&gt;0,"Re-failed","Awaiting confirmation")),"")</f>
        <v/>
      </c>
    </row>
    <row r="5">
      <c r="A5" t="inlineStr">
        <is>
          <t>A004</t>
        </is>
      </c>
      <c r="B5" s="2" t="n">
        <v>46212</v>
      </c>
      <c r="C5" t="inlineStr">
        <is>
          <t>Despatch</t>
        </is>
      </c>
      <c r="D5" t="inlineStr">
        <is>
          <t>Routine</t>
        </is>
      </c>
      <c r="F5" t="inlineStr">
        <is>
          <t>Auditor A</t>
        </is>
      </c>
      <c r="G5" t="n">
        <v>10</v>
      </c>
      <c r="H5" t="n">
        <v>10</v>
      </c>
      <c r="J5" s="3">
        <f>H5/G5</f>
        <v/>
      </c>
      <c r="K5">
        <f>IF(J5&gt;=0.9,"Pass","Fail")</f>
        <v/>
      </c>
      <c r="L5">
        <f>TEXT(B5,"yyyy-mm")</f>
        <v/>
      </c>
      <c r="M5">
        <f>IF(AND(D5="Routine",K5="Fail"),IF(COUNTIFS($E$2:$E$72,A5,$K$2:$K$72,"Pass")&gt;0,"Closed",IF(COUNTIFS($E$2:$E$72,A5)&gt;0,"Re-failed","Awaiting confirmation")),"")</f>
        <v/>
      </c>
    </row>
    <row r="6">
      <c r="A6" t="inlineStr">
        <is>
          <t>A005</t>
        </is>
      </c>
      <c r="B6" s="2" t="n">
        <v>46216</v>
      </c>
      <c r="C6" t="inlineStr">
        <is>
          <t>Picking</t>
        </is>
      </c>
      <c r="D6" t="inlineStr">
        <is>
          <t>Routine</t>
        </is>
      </c>
      <c r="F6" t="inlineStr">
        <is>
          <t>Auditor A</t>
        </is>
      </c>
      <c r="G6" t="n">
        <v>15</v>
      </c>
      <c r="H6" t="n">
        <v>14</v>
      </c>
      <c r="J6" s="3">
        <f>H6/G6</f>
        <v/>
      </c>
      <c r="K6">
        <f>IF(J6&gt;=0.9,"Pass","Fail")</f>
        <v/>
      </c>
      <c r="L6">
        <f>TEXT(B6,"yyyy-mm")</f>
        <v/>
      </c>
      <c r="M6">
        <f>IF(AND(D6="Routine",K6="Fail"),IF(COUNTIFS($E$2:$E$72,A6,$K$2:$K$72,"Pass")&gt;0,"Closed",IF(COUNTIFS($E$2:$E$72,A6)&gt;0,"Re-failed","Awaiting confirmation")),"")</f>
        <v/>
      </c>
    </row>
    <row r="7">
      <c r="A7" t="inlineStr">
        <is>
          <t>A006</t>
        </is>
      </c>
      <c r="B7" s="2" t="n">
        <v>46217</v>
      </c>
      <c r="C7" t="inlineStr">
        <is>
          <t>Goods In</t>
        </is>
      </c>
      <c r="D7" t="inlineStr">
        <is>
          <t>Routine</t>
        </is>
      </c>
      <c r="F7" t="inlineStr">
        <is>
          <t>Auditor B</t>
        </is>
      </c>
      <c r="G7" t="n">
        <v>10</v>
      </c>
      <c r="H7" t="n">
        <v>9</v>
      </c>
      <c r="J7" s="3">
        <f>H7/G7</f>
        <v/>
      </c>
      <c r="K7">
        <f>IF(J7&gt;=0.9,"Pass","Fail")</f>
        <v/>
      </c>
      <c r="L7">
        <f>TEXT(B7,"yyyy-mm")</f>
        <v/>
      </c>
      <c r="M7">
        <f>IF(AND(D7="Routine",K7="Fail"),IF(COUNTIFS($E$2:$E$72,A7,$K$2:$K$72,"Pass")&gt;0,"Closed",IF(COUNTIFS($E$2:$E$72,A7)&gt;0,"Re-failed","Awaiting confirmation")),"")</f>
        <v/>
      </c>
    </row>
    <row r="8">
      <c r="A8" t="inlineStr">
        <is>
          <t>A007</t>
        </is>
      </c>
      <c r="B8" s="2" t="n">
        <v>46219</v>
      </c>
      <c r="C8" t="inlineStr">
        <is>
          <t>Hazardous Storage</t>
        </is>
      </c>
      <c r="D8" t="inlineStr">
        <is>
          <t>Routine</t>
        </is>
      </c>
      <c r="F8" t="inlineStr">
        <is>
          <t>Auditor B</t>
        </is>
      </c>
      <c r="G8" t="n">
        <v>15</v>
      </c>
      <c r="H8" t="n">
        <v>13</v>
      </c>
      <c r="I8" t="inlineStr">
        <is>
          <t>Log not signed</t>
        </is>
      </c>
      <c r="J8" s="3">
        <f>H8/G8</f>
        <v/>
      </c>
      <c r="K8">
        <f>IF(J8&gt;=0.9,"Pass","Fail")</f>
        <v/>
      </c>
      <c r="L8">
        <f>TEXT(B8,"yyyy-mm")</f>
        <v/>
      </c>
      <c r="M8">
        <f>IF(AND(D8="Routine",K8="Fail"),IF(COUNTIFS($E$2:$E$72,A8,$K$2:$K$72,"Pass")&gt;0,"Closed",IF(COUNTIFS($E$2:$E$72,A8)&gt;0,"Re-failed","Awaiting confirmation")),"")</f>
        <v/>
      </c>
    </row>
    <row r="9">
      <c r="A9" t="inlineStr">
        <is>
          <t>A008</t>
        </is>
      </c>
      <c r="B9" s="2" t="n">
        <v>46220</v>
      </c>
      <c r="C9" t="inlineStr">
        <is>
          <t>Despatch</t>
        </is>
      </c>
      <c r="D9" t="inlineStr">
        <is>
          <t>Routine</t>
        </is>
      </c>
      <c r="F9" t="inlineStr">
        <is>
          <t>Auditor A</t>
        </is>
      </c>
      <c r="G9" t="n">
        <v>12</v>
      </c>
      <c r="H9" t="n">
        <v>11</v>
      </c>
      <c r="J9" s="3">
        <f>H9/G9</f>
        <v/>
      </c>
      <c r="K9">
        <f>IF(J9&gt;=0.9,"Pass","Fail")</f>
        <v/>
      </c>
      <c r="L9">
        <f>TEXT(B9,"yyyy-mm")</f>
        <v/>
      </c>
      <c r="M9">
        <f>IF(AND(D9="Routine",K9="Fail"),IF(COUNTIFS($E$2:$E$72,A9,$K$2:$K$72,"Pass")&gt;0,"Closed",IF(COUNTIFS($E$2:$E$72,A9)&gt;0,"Re-failed","Awaiting confirmation")),"")</f>
        <v/>
      </c>
    </row>
    <row r="10">
      <c r="A10" t="inlineStr">
        <is>
          <t>A009</t>
        </is>
      </c>
      <c r="B10" s="2" t="n">
        <v>46220</v>
      </c>
      <c r="C10" t="inlineStr">
        <is>
          <t>Returns</t>
        </is>
      </c>
      <c r="D10" t="inlineStr">
        <is>
          <t>Routine</t>
        </is>
      </c>
      <c r="F10" t="inlineStr">
        <is>
          <t>Auditor B</t>
        </is>
      </c>
      <c r="G10" t="n">
        <v>12</v>
      </c>
      <c r="H10" t="n">
        <v>11</v>
      </c>
      <c r="J10" s="3">
        <f>H10/G10</f>
        <v/>
      </c>
      <c r="K10">
        <f>IF(J10&gt;=0.9,"Pass","Fail")</f>
        <v/>
      </c>
      <c r="L10">
        <f>TEXT(B10,"yyyy-mm")</f>
        <v/>
      </c>
      <c r="M10">
        <f>IF(AND(D10="Routine",K10="Fail"),IF(COUNTIFS($E$2:$E$72,A10,$K$2:$K$72,"Pass")&gt;0,"Closed",IF(COUNTIFS($E$2:$E$72,A10)&gt;0,"Re-failed","Awaiting confirmation")),"")</f>
        <v/>
      </c>
    </row>
    <row r="11">
      <c r="A11" t="inlineStr">
        <is>
          <t>A010</t>
        </is>
      </c>
      <c r="B11" s="2" t="n">
        <v>46223</v>
      </c>
      <c r="C11" t="inlineStr">
        <is>
          <t>Despatch</t>
        </is>
      </c>
      <c r="D11" t="inlineStr">
        <is>
          <t>Routine</t>
        </is>
      </c>
      <c r="F11" t="inlineStr">
        <is>
          <t>Auditor B</t>
        </is>
      </c>
      <c r="G11" t="n">
        <v>10</v>
      </c>
      <c r="H11" t="n">
        <v>9</v>
      </c>
      <c r="J11" s="3">
        <f>H11/G11</f>
        <v/>
      </c>
      <c r="K11">
        <f>IF(J11&gt;=0.9,"Pass","Fail")</f>
        <v/>
      </c>
      <c r="L11">
        <f>TEXT(B11,"yyyy-mm")</f>
        <v/>
      </c>
      <c r="M11">
        <f>IF(AND(D11="Routine",K11="Fail"),IF(COUNTIFS($E$2:$E$72,A11,$K$2:$K$72,"Pass")&gt;0,"Closed",IF(COUNTIFS($E$2:$E$72,A11)&gt;0,"Re-failed","Awaiting confirmation")),"")</f>
        <v/>
      </c>
    </row>
    <row r="12">
      <c r="A12" t="inlineStr">
        <is>
          <t>A011</t>
        </is>
      </c>
      <c r="B12" s="2" t="n">
        <v>46224</v>
      </c>
      <c r="C12" t="inlineStr">
        <is>
          <t>Goods In</t>
        </is>
      </c>
      <c r="D12" t="inlineStr">
        <is>
          <t>Routine</t>
        </is>
      </c>
      <c r="F12" t="inlineStr">
        <is>
          <t>Auditor A</t>
        </is>
      </c>
      <c r="G12" t="n">
        <v>12</v>
      </c>
      <c r="H12" t="n">
        <v>12</v>
      </c>
      <c r="J12" s="3">
        <f>H12/G12</f>
        <v/>
      </c>
      <c r="K12">
        <f>IF(J12&gt;=0.9,"Pass","Fail")</f>
        <v/>
      </c>
      <c r="L12">
        <f>TEXT(B12,"yyyy-mm")</f>
        <v/>
      </c>
      <c r="M12">
        <f>IF(AND(D12="Routine",K12="Fail"),IF(COUNTIFS($E$2:$E$72,A12,$K$2:$K$72,"Pass")&gt;0,"Closed",IF(COUNTIFS($E$2:$E$72,A12)&gt;0,"Re-failed","Awaiting confirmation")),"")</f>
        <v/>
      </c>
    </row>
    <row r="13">
      <c r="A13" t="inlineStr">
        <is>
          <t>A012</t>
        </is>
      </c>
      <c r="B13" s="2" t="n">
        <v>46225</v>
      </c>
      <c r="C13" t="inlineStr">
        <is>
          <t>Returns</t>
        </is>
      </c>
      <c r="D13" t="inlineStr">
        <is>
          <t>Routine</t>
        </is>
      </c>
      <c r="F13" t="inlineStr">
        <is>
          <t>Auditor A</t>
        </is>
      </c>
      <c r="G13" t="n">
        <v>12</v>
      </c>
      <c r="H13" t="n">
        <v>11</v>
      </c>
      <c r="J13" s="3">
        <f>H13/G13</f>
        <v/>
      </c>
      <c r="K13">
        <f>IF(J13&gt;=0.9,"Pass","Fail")</f>
        <v/>
      </c>
      <c r="L13">
        <f>TEXT(B13,"yyyy-mm")</f>
        <v/>
      </c>
      <c r="M13">
        <f>IF(AND(D13="Routine",K13="Fail"),IF(COUNTIFS($E$2:$E$72,A13,$K$2:$K$72,"Pass")&gt;0,"Closed",IF(COUNTIFS($E$2:$E$72,A13)&gt;0,"Re-failed","Awaiting confirmation")),"")</f>
        <v/>
      </c>
    </row>
    <row r="14">
      <c r="A14" t="inlineStr">
        <is>
          <t>A013</t>
        </is>
      </c>
      <c r="B14" s="2" t="n">
        <v>46227</v>
      </c>
      <c r="C14" t="inlineStr">
        <is>
          <t>Picking</t>
        </is>
      </c>
      <c r="D14" t="inlineStr">
        <is>
          <t>Routine</t>
        </is>
      </c>
      <c r="F14" t="inlineStr">
        <is>
          <t>Auditor B</t>
        </is>
      </c>
      <c r="G14" t="n">
        <v>20</v>
      </c>
      <c r="H14" t="n">
        <v>19</v>
      </c>
      <c r="J14" s="3">
        <f>H14/G14</f>
        <v/>
      </c>
      <c r="K14">
        <f>IF(J14&gt;=0.9,"Pass","Fail")</f>
        <v/>
      </c>
      <c r="L14">
        <f>TEXT(B14,"yyyy-mm")</f>
        <v/>
      </c>
      <c r="M14">
        <f>IF(AND(D14="Routine",K14="Fail"),IF(COUNTIFS($E$2:$E$72,A14,$K$2:$K$72,"Pass")&gt;0,"Closed",IF(COUNTIFS($E$2:$E$72,A14)&gt;0,"Re-failed","Awaiting confirmation")),"")</f>
        <v/>
      </c>
    </row>
    <row r="15">
      <c r="A15" t="inlineStr">
        <is>
          <t>A014</t>
        </is>
      </c>
      <c r="B15" s="2" t="n">
        <v>46227</v>
      </c>
      <c r="C15" t="inlineStr">
        <is>
          <t>Hazardous Storage</t>
        </is>
      </c>
      <c r="D15" t="inlineStr">
        <is>
          <t>Routine</t>
        </is>
      </c>
      <c r="F15" t="inlineStr">
        <is>
          <t>Auditor B</t>
        </is>
      </c>
      <c r="G15" t="n">
        <v>15</v>
      </c>
      <c r="H15" t="n">
        <v>14</v>
      </c>
      <c r="J15" s="3">
        <f>H15/G15</f>
        <v/>
      </c>
      <c r="K15">
        <f>IF(J15&gt;=0.9,"Pass","Fail")</f>
        <v/>
      </c>
      <c r="L15">
        <f>TEXT(B15,"yyyy-mm")</f>
        <v/>
      </c>
      <c r="M15">
        <f>IF(AND(D15="Routine",K15="Fail"),IF(COUNTIFS($E$2:$E$72,A15,$K$2:$K$72,"Pass")&gt;0,"Closed",IF(COUNTIFS($E$2:$E$72,A15)&gt;0,"Re-failed","Awaiting confirmation")),"")</f>
        <v/>
      </c>
    </row>
    <row r="16">
      <c r="A16" t="inlineStr">
        <is>
          <t>A015</t>
        </is>
      </c>
      <c r="B16" s="2" t="n">
        <v>46230</v>
      </c>
      <c r="C16" t="inlineStr">
        <is>
          <t>Despatch</t>
        </is>
      </c>
      <c r="D16" t="inlineStr">
        <is>
          <t>Routine</t>
        </is>
      </c>
      <c r="F16" t="inlineStr">
        <is>
          <t>Auditor B</t>
        </is>
      </c>
      <c r="G16" t="n">
        <v>10</v>
      </c>
      <c r="H16" t="n">
        <v>9</v>
      </c>
      <c r="J16" s="3">
        <f>H16/G16</f>
        <v/>
      </c>
      <c r="K16">
        <f>IF(J16&gt;=0.9,"Pass","Fail")</f>
        <v/>
      </c>
      <c r="L16">
        <f>TEXT(B16,"yyyy-mm")</f>
        <v/>
      </c>
      <c r="M16">
        <f>IF(AND(D16="Routine",K16="Fail"),IF(COUNTIFS($E$2:$E$72,A16,$K$2:$K$72,"Pass")&gt;0,"Closed",IF(COUNTIFS($E$2:$E$72,A16)&gt;0,"Re-failed","Awaiting confirmation")),"")</f>
        <v/>
      </c>
    </row>
    <row r="17">
      <c r="A17" t="inlineStr">
        <is>
          <t>A016</t>
        </is>
      </c>
      <c r="B17" s="2" t="n">
        <v>46233</v>
      </c>
      <c r="C17" t="inlineStr">
        <is>
          <t>Returns</t>
        </is>
      </c>
      <c r="D17" t="inlineStr">
        <is>
          <t>Routine</t>
        </is>
      </c>
      <c r="F17" t="inlineStr">
        <is>
          <t>Auditor B</t>
        </is>
      </c>
      <c r="G17" t="n">
        <v>15</v>
      </c>
      <c r="H17" t="n">
        <v>13</v>
      </c>
      <c r="I17" t="inlineStr">
        <is>
          <t>Late processing</t>
        </is>
      </c>
      <c r="J17" s="3">
        <f>H17/G17</f>
        <v/>
      </c>
      <c r="K17">
        <f>IF(J17&gt;=0.9,"Pass","Fail")</f>
        <v/>
      </c>
      <c r="L17">
        <f>TEXT(B17,"yyyy-mm")</f>
        <v/>
      </c>
      <c r="M17">
        <f>IF(AND(D17="Routine",K17="Fail"),IF(COUNTIFS($E$2:$E$72,A17,$K$2:$K$72,"Pass")&gt;0,"Closed",IF(COUNTIFS($E$2:$E$72,A17)&gt;0,"Re-failed","Awaiting confirmation")),"")</f>
        <v/>
      </c>
    </row>
    <row r="18">
      <c r="A18" t="inlineStr">
        <is>
          <t>A017</t>
        </is>
      </c>
      <c r="B18" s="2" t="n">
        <v>46233</v>
      </c>
      <c r="C18" t="inlineStr">
        <is>
          <t>Hazardous Storage</t>
        </is>
      </c>
      <c r="D18" t="inlineStr">
        <is>
          <t>Routine</t>
        </is>
      </c>
      <c r="F18" t="inlineStr">
        <is>
          <t>Auditor A</t>
        </is>
      </c>
      <c r="G18" t="n">
        <v>15</v>
      </c>
      <c r="H18" t="n">
        <v>13</v>
      </c>
      <c r="I18" t="inlineStr">
        <is>
          <t>Spill kit not checked</t>
        </is>
      </c>
      <c r="J18" s="3">
        <f>H18/G18</f>
        <v/>
      </c>
      <c r="K18">
        <f>IF(J18&gt;=0.9,"Pass","Fail")</f>
        <v/>
      </c>
      <c r="L18">
        <f>TEXT(B18,"yyyy-mm")</f>
        <v/>
      </c>
      <c r="M18">
        <f>IF(AND(D18="Routine",K18="Fail"),IF(COUNTIFS($E$2:$E$72,A18,$K$2:$K$72,"Pass")&gt;0,"Closed",IF(COUNTIFS($E$2:$E$72,A18)&gt;0,"Re-failed","Awaiting confirmation")),"")</f>
        <v/>
      </c>
    </row>
    <row r="19">
      <c r="A19" t="inlineStr">
        <is>
          <t>A018</t>
        </is>
      </c>
      <c r="B19" s="2" t="n">
        <v>46234</v>
      </c>
      <c r="C19" t="inlineStr">
        <is>
          <t>Goods In</t>
        </is>
      </c>
      <c r="D19" t="inlineStr">
        <is>
          <t>Routine</t>
        </is>
      </c>
      <c r="F19" t="inlineStr">
        <is>
          <t>Auditor A</t>
        </is>
      </c>
      <c r="G19" t="n">
        <v>20</v>
      </c>
      <c r="H19" t="n">
        <v>18</v>
      </c>
      <c r="J19" s="3">
        <f>H19/G19</f>
        <v/>
      </c>
      <c r="K19">
        <f>IF(J19&gt;=0.9,"Pass","Fail")</f>
        <v/>
      </c>
      <c r="L19">
        <f>TEXT(B19,"yyyy-mm")</f>
        <v/>
      </c>
      <c r="M19">
        <f>IF(AND(D19="Routine",K19="Fail"),IF(COUNTIFS($E$2:$E$72,A19,$K$2:$K$72,"Pass")&gt;0,"Closed",IF(COUNTIFS($E$2:$E$72,A19)&gt;0,"Re-failed","Awaiting confirmation")),"")</f>
        <v/>
      </c>
    </row>
    <row r="20">
      <c r="A20" t="inlineStr">
        <is>
          <t>A019</t>
        </is>
      </c>
      <c r="B20" s="2" t="n">
        <v>46238</v>
      </c>
      <c r="C20" t="inlineStr">
        <is>
          <t>Hazardous Storage</t>
        </is>
      </c>
      <c r="D20" t="inlineStr">
        <is>
          <t>Routine</t>
        </is>
      </c>
      <c r="F20" t="inlineStr">
        <is>
          <t>Auditor B</t>
        </is>
      </c>
      <c r="G20" t="n">
        <v>12</v>
      </c>
      <c r="H20" t="n">
        <v>12</v>
      </c>
      <c r="J20" s="3">
        <f>H20/G20</f>
        <v/>
      </c>
      <c r="K20">
        <f>IF(J20&gt;=0.9,"Pass","Fail")</f>
        <v/>
      </c>
      <c r="L20">
        <f>TEXT(B20,"yyyy-mm")</f>
        <v/>
      </c>
      <c r="M20">
        <f>IF(AND(D20="Routine",K20="Fail"),IF(COUNTIFS($E$2:$E$72,A20,$K$2:$K$72,"Pass")&gt;0,"Closed",IF(COUNTIFS($E$2:$E$72,A20)&gt;0,"Re-failed","Awaiting confirmation")),"")</f>
        <v/>
      </c>
    </row>
    <row r="21">
      <c r="A21" t="inlineStr">
        <is>
          <t>A020</t>
        </is>
      </c>
      <c r="B21" s="2" t="n">
        <v>46239</v>
      </c>
      <c r="C21" t="inlineStr">
        <is>
          <t>Returns</t>
        </is>
      </c>
      <c r="D21" t="inlineStr">
        <is>
          <t>Routine</t>
        </is>
      </c>
      <c r="F21" t="inlineStr">
        <is>
          <t>Auditor A</t>
        </is>
      </c>
      <c r="G21" t="n">
        <v>20</v>
      </c>
      <c r="H21" t="n">
        <v>16</v>
      </c>
      <c r="I21" t="inlineStr">
        <is>
          <t>Reason code missing</t>
        </is>
      </c>
      <c r="J21" s="3">
        <f>H21/G21</f>
        <v/>
      </c>
      <c r="K21">
        <f>IF(J21&gt;=0.9,"Pass","Fail")</f>
        <v/>
      </c>
      <c r="L21">
        <f>TEXT(B21,"yyyy-mm")</f>
        <v/>
      </c>
      <c r="M21">
        <f>IF(AND(D21="Routine",K21="Fail"),IF(COUNTIFS($E$2:$E$72,A21,$K$2:$K$72,"Pass")&gt;0,"Closed",IF(COUNTIFS($E$2:$E$72,A21)&gt;0,"Re-failed","Awaiting confirmation")),"")</f>
        <v/>
      </c>
    </row>
    <row r="22">
      <c r="A22" t="inlineStr">
        <is>
          <t>A021</t>
        </is>
      </c>
      <c r="B22" s="2" t="n">
        <v>46240</v>
      </c>
      <c r="C22" t="inlineStr">
        <is>
          <t>Goods In</t>
        </is>
      </c>
      <c r="D22" t="inlineStr">
        <is>
          <t>Routine</t>
        </is>
      </c>
      <c r="F22" t="inlineStr">
        <is>
          <t>Auditor A</t>
        </is>
      </c>
      <c r="G22" t="n">
        <v>10</v>
      </c>
      <c r="H22" t="n">
        <v>10</v>
      </c>
      <c r="J22" s="3">
        <f>H22/G22</f>
        <v/>
      </c>
      <c r="K22">
        <f>IF(J22&gt;=0.9,"Pass","Fail")</f>
        <v/>
      </c>
      <c r="L22">
        <f>TEXT(B22,"yyyy-mm")</f>
        <v/>
      </c>
      <c r="M22">
        <f>IF(AND(D22="Routine",K22="Fail"),IF(COUNTIFS($E$2:$E$72,A22,$K$2:$K$72,"Pass")&gt;0,"Closed",IF(COUNTIFS($E$2:$E$72,A22)&gt;0,"Re-failed","Awaiting confirmation")),"")</f>
        <v/>
      </c>
    </row>
    <row r="23">
      <c r="A23" t="inlineStr">
        <is>
          <t>A022</t>
        </is>
      </c>
      <c r="B23" s="2" t="n">
        <v>46240</v>
      </c>
      <c r="C23" t="inlineStr">
        <is>
          <t>Picking</t>
        </is>
      </c>
      <c r="D23" t="inlineStr">
        <is>
          <t>Routine</t>
        </is>
      </c>
      <c r="F23" t="inlineStr">
        <is>
          <t>Auditor A</t>
        </is>
      </c>
      <c r="G23" t="n">
        <v>10</v>
      </c>
      <c r="H23" t="n">
        <v>10</v>
      </c>
      <c r="J23" s="3">
        <f>H23/G23</f>
        <v/>
      </c>
      <c r="K23">
        <f>IF(J23&gt;=0.9,"Pass","Fail")</f>
        <v/>
      </c>
      <c r="L23">
        <f>TEXT(B23,"yyyy-mm")</f>
        <v/>
      </c>
      <c r="M23">
        <f>IF(AND(D23="Routine",K23="Fail"),IF(COUNTIFS($E$2:$E$72,A23,$K$2:$K$72,"Pass")&gt;0,"Closed",IF(COUNTIFS($E$2:$E$72,A23)&gt;0,"Re-failed","Awaiting confirmation")),"")</f>
        <v/>
      </c>
    </row>
    <row r="24">
      <c r="A24" t="inlineStr">
        <is>
          <t>A023</t>
        </is>
      </c>
      <c r="B24" s="2" t="n">
        <v>46241</v>
      </c>
      <c r="C24" t="inlineStr">
        <is>
          <t>Despatch</t>
        </is>
      </c>
      <c r="D24" t="inlineStr">
        <is>
          <t>Routine</t>
        </is>
      </c>
      <c r="F24" t="inlineStr">
        <is>
          <t>Auditor B</t>
        </is>
      </c>
      <c r="G24" t="n">
        <v>15</v>
      </c>
      <c r="H24" t="n">
        <v>15</v>
      </c>
      <c r="J24" s="3">
        <f>H24/G24</f>
        <v/>
      </c>
      <c r="K24">
        <f>IF(J24&gt;=0.9,"Pass","Fail")</f>
        <v/>
      </c>
      <c r="L24">
        <f>TEXT(B24,"yyyy-mm")</f>
        <v/>
      </c>
      <c r="M24">
        <f>IF(AND(D24="Routine",K24="Fail"),IF(COUNTIFS($E$2:$E$72,A24,$K$2:$K$72,"Pass")&gt;0,"Closed",IF(COUNTIFS($E$2:$E$72,A24)&gt;0,"Re-failed","Awaiting confirmation")),"")</f>
        <v/>
      </c>
    </row>
    <row r="25">
      <c r="A25" t="inlineStr">
        <is>
          <t>A024</t>
        </is>
      </c>
      <c r="B25" s="2" t="n">
        <v>46241</v>
      </c>
      <c r="C25" t="inlineStr">
        <is>
          <t>Hazardous Storage</t>
        </is>
      </c>
      <c r="D25" t="inlineStr">
        <is>
          <t>Confirmation</t>
        </is>
      </c>
      <c r="E25" t="inlineStr">
        <is>
          <t>A017</t>
        </is>
      </c>
      <c r="F25" t="inlineStr">
        <is>
          <t>Auditor A</t>
        </is>
      </c>
      <c r="G25" t="n">
        <v>15</v>
      </c>
      <c r="H25" t="n">
        <v>15</v>
      </c>
      <c r="J25" s="3">
        <f>H25/G25</f>
        <v/>
      </c>
      <c r="K25">
        <f>IF(J25&gt;=0.9,"Pass","Fail")</f>
        <v/>
      </c>
      <c r="L25">
        <f>TEXT(B25,"yyyy-mm")</f>
        <v/>
      </c>
      <c r="M25">
        <f>IF(AND(D25="Routine",K25="Fail"),IF(COUNTIFS($E$2:$E$72,A25,$K$2:$K$72,"Pass")&gt;0,"Closed",IF(COUNTIFS($E$2:$E$72,A25)&gt;0,"Re-failed","Awaiting confirmation")),"")</f>
        <v/>
      </c>
    </row>
    <row r="26">
      <c r="A26" t="inlineStr">
        <is>
          <t>A025</t>
        </is>
      </c>
      <c r="B26" s="2" t="n">
        <v>46244</v>
      </c>
      <c r="C26" t="inlineStr">
        <is>
          <t>Hazardous Storage</t>
        </is>
      </c>
      <c r="D26" t="inlineStr">
        <is>
          <t>Routine</t>
        </is>
      </c>
      <c r="F26" t="inlineStr">
        <is>
          <t>Auditor A</t>
        </is>
      </c>
      <c r="G26" t="n">
        <v>20</v>
      </c>
      <c r="H26" t="n">
        <v>20</v>
      </c>
      <c r="J26" s="3">
        <f>H26/G26</f>
        <v/>
      </c>
      <c r="K26">
        <f>IF(J26&gt;=0.9,"Pass","Fail")</f>
        <v/>
      </c>
      <c r="L26">
        <f>TEXT(B26,"yyyy-mm")</f>
        <v/>
      </c>
      <c r="M26">
        <f>IF(AND(D26="Routine",K26="Fail"),IF(COUNTIFS($E$2:$E$72,A26,$K$2:$K$72,"Pass")&gt;0,"Closed",IF(COUNTIFS($E$2:$E$72,A26)&gt;0,"Re-failed","Awaiting confirmation")),"")</f>
        <v/>
      </c>
    </row>
    <row r="27">
      <c r="A27" t="inlineStr">
        <is>
          <t>A026</t>
        </is>
      </c>
      <c r="B27" s="2" t="n">
        <v>46246</v>
      </c>
      <c r="C27" t="inlineStr">
        <is>
          <t>Picking</t>
        </is>
      </c>
      <c r="D27" t="inlineStr">
        <is>
          <t>Routine</t>
        </is>
      </c>
      <c r="F27" t="inlineStr">
        <is>
          <t>Auditor A</t>
        </is>
      </c>
      <c r="G27" t="n">
        <v>10</v>
      </c>
      <c r="H27" t="n">
        <v>10</v>
      </c>
      <c r="J27" s="3">
        <f>H27/G27</f>
        <v/>
      </c>
      <c r="K27">
        <f>IF(J27&gt;=0.9,"Pass","Fail")</f>
        <v/>
      </c>
      <c r="L27">
        <f>TEXT(B27,"yyyy-mm")</f>
        <v/>
      </c>
      <c r="M27">
        <f>IF(AND(D27="Routine",K27="Fail"),IF(COUNTIFS($E$2:$E$72,A27,$K$2:$K$72,"Pass")&gt;0,"Closed",IF(COUNTIFS($E$2:$E$72,A27)&gt;0,"Re-failed","Awaiting confirmation")),"")</f>
        <v/>
      </c>
    </row>
    <row r="28">
      <c r="A28" t="inlineStr">
        <is>
          <t>A027</t>
        </is>
      </c>
      <c r="B28" s="2" t="n">
        <v>46246</v>
      </c>
      <c r="C28" t="inlineStr">
        <is>
          <t>Despatch</t>
        </is>
      </c>
      <c r="D28" t="inlineStr">
        <is>
          <t>Routine</t>
        </is>
      </c>
      <c r="F28" t="inlineStr">
        <is>
          <t>Auditor A</t>
        </is>
      </c>
      <c r="G28" t="n">
        <v>15</v>
      </c>
      <c r="H28" t="n">
        <v>15</v>
      </c>
      <c r="J28" s="3">
        <f>H28/G28</f>
        <v/>
      </c>
      <c r="K28">
        <f>IF(J28&gt;=0.9,"Pass","Fail")</f>
        <v/>
      </c>
      <c r="L28">
        <f>TEXT(B28,"yyyy-mm")</f>
        <v/>
      </c>
      <c r="M28">
        <f>IF(AND(D28="Routine",K28="Fail"),IF(COUNTIFS($E$2:$E$72,A28,$K$2:$K$72,"Pass")&gt;0,"Closed",IF(COUNTIFS($E$2:$E$72,A28)&gt;0,"Re-failed","Awaiting confirmation")),"")</f>
        <v/>
      </c>
    </row>
    <row r="29">
      <c r="A29" t="inlineStr">
        <is>
          <t>A028</t>
        </is>
      </c>
      <c r="B29" s="2" t="n">
        <v>46247</v>
      </c>
      <c r="C29" t="inlineStr">
        <is>
          <t>Returns</t>
        </is>
      </c>
      <c r="D29" t="inlineStr">
        <is>
          <t>Confirmation</t>
        </is>
      </c>
      <c r="E29" t="inlineStr">
        <is>
          <t>A016</t>
        </is>
      </c>
      <c r="F29" t="inlineStr">
        <is>
          <t>Auditor B</t>
        </is>
      </c>
      <c r="G29" t="n">
        <v>15</v>
      </c>
      <c r="H29" t="n">
        <v>14</v>
      </c>
      <c r="J29" s="3">
        <f>H29/G29</f>
        <v/>
      </c>
      <c r="K29">
        <f>IF(J29&gt;=0.9,"Pass","Fail")</f>
        <v/>
      </c>
      <c r="L29">
        <f>TEXT(B29,"yyyy-mm")</f>
        <v/>
      </c>
      <c r="M29">
        <f>IF(AND(D29="Routine",K29="Fail"),IF(COUNTIFS($E$2:$E$72,A29,$K$2:$K$72,"Pass")&gt;0,"Closed",IF(COUNTIFS($E$2:$E$72,A29)&gt;0,"Re-failed","Awaiting confirmation")),"")</f>
        <v/>
      </c>
    </row>
    <row r="30">
      <c r="A30" t="inlineStr">
        <is>
          <t>A029</t>
        </is>
      </c>
      <c r="B30" s="2" t="n">
        <v>46248</v>
      </c>
      <c r="C30" t="inlineStr">
        <is>
          <t>Returns</t>
        </is>
      </c>
      <c r="D30" t="inlineStr">
        <is>
          <t>Routine</t>
        </is>
      </c>
      <c r="F30" t="inlineStr">
        <is>
          <t>Auditor B</t>
        </is>
      </c>
      <c r="G30" t="n">
        <v>20</v>
      </c>
      <c r="H30" t="n">
        <v>17</v>
      </c>
      <c r="I30" t="inlineStr">
        <is>
          <t>Late processing</t>
        </is>
      </c>
      <c r="J30" s="3">
        <f>H30/G30</f>
        <v/>
      </c>
      <c r="K30">
        <f>IF(J30&gt;=0.9,"Pass","Fail")</f>
        <v/>
      </c>
      <c r="L30">
        <f>TEXT(B30,"yyyy-mm")</f>
        <v/>
      </c>
      <c r="M30">
        <f>IF(AND(D30="Routine",K30="Fail"),IF(COUNTIFS($E$2:$E$72,A30,$K$2:$K$72,"Pass")&gt;0,"Closed",IF(COUNTIFS($E$2:$E$72,A30)&gt;0,"Re-failed","Awaiting confirmation")),"")</f>
        <v/>
      </c>
    </row>
    <row r="31">
      <c r="A31" t="inlineStr">
        <is>
          <t>A030</t>
        </is>
      </c>
      <c r="B31" s="2" t="n">
        <v>46251</v>
      </c>
      <c r="C31" t="inlineStr">
        <is>
          <t>Picking</t>
        </is>
      </c>
      <c r="D31" t="inlineStr">
        <is>
          <t>Routine</t>
        </is>
      </c>
      <c r="F31" t="inlineStr">
        <is>
          <t>Auditor A</t>
        </is>
      </c>
      <c r="G31" t="n">
        <v>15</v>
      </c>
      <c r="H31" t="n">
        <v>14</v>
      </c>
      <c r="J31" s="3">
        <f>H31/G31</f>
        <v/>
      </c>
      <c r="K31">
        <f>IF(J31&gt;=0.9,"Pass","Fail")</f>
        <v/>
      </c>
      <c r="L31">
        <f>TEXT(B31,"yyyy-mm")</f>
        <v/>
      </c>
      <c r="M31">
        <f>IF(AND(D31="Routine",K31="Fail"),IF(COUNTIFS($E$2:$E$72,A31,$K$2:$K$72,"Pass")&gt;0,"Closed",IF(COUNTIFS($E$2:$E$72,A31)&gt;0,"Re-failed","Awaiting confirmation")),"")</f>
        <v/>
      </c>
    </row>
    <row r="32">
      <c r="A32" t="inlineStr">
        <is>
          <t>A031</t>
        </is>
      </c>
      <c r="B32" s="2" t="n">
        <v>46252</v>
      </c>
      <c r="C32" t="inlineStr">
        <is>
          <t>Returns</t>
        </is>
      </c>
      <c r="D32" t="inlineStr">
        <is>
          <t>Routine</t>
        </is>
      </c>
      <c r="F32" t="inlineStr">
        <is>
          <t>Auditor A</t>
        </is>
      </c>
      <c r="G32" t="n">
        <v>20</v>
      </c>
      <c r="H32" t="n">
        <v>17</v>
      </c>
      <c r="I32" t="inlineStr">
        <is>
          <t>Item not quarantined</t>
        </is>
      </c>
      <c r="J32" s="3">
        <f>H32/G32</f>
        <v/>
      </c>
      <c r="K32">
        <f>IF(J32&gt;=0.9,"Pass","Fail")</f>
        <v/>
      </c>
      <c r="L32">
        <f>TEXT(B32,"yyyy-mm")</f>
        <v/>
      </c>
      <c r="M32">
        <f>IF(AND(D32="Routine",K32="Fail"),IF(COUNTIFS($E$2:$E$72,A32,$K$2:$K$72,"Pass")&gt;0,"Closed",IF(COUNTIFS($E$2:$E$72,A32)&gt;0,"Re-failed","Awaiting confirmation")),"")</f>
        <v/>
      </c>
    </row>
    <row r="33">
      <c r="A33" t="inlineStr">
        <is>
          <t>A032</t>
        </is>
      </c>
      <c r="B33" s="2" t="n">
        <v>46252</v>
      </c>
      <c r="C33" t="inlineStr">
        <is>
          <t>Returns</t>
        </is>
      </c>
      <c r="D33" t="inlineStr">
        <is>
          <t>Confirmation</t>
        </is>
      </c>
      <c r="E33" t="inlineStr">
        <is>
          <t>A020</t>
        </is>
      </c>
      <c r="F33" t="inlineStr">
        <is>
          <t>Auditor A</t>
        </is>
      </c>
      <c r="G33" t="n">
        <v>20</v>
      </c>
      <c r="H33" t="n">
        <v>19</v>
      </c>
      <c r="J33" s="3">
        <f>H33/G33</f>
        <v/>
      </c>
      <c r="K33">
        <f>IF(J33&gt;=0.9,"Pass","Fail")</f>
        <v/>
      </c>
      <c r="L33">
        <f>TEXT(B33,"yyyy-mm")</f>
        <v/>
      </c>
      <c r="M33">
        <f>IF(AND(D33="Routine",K33="Fail"),IF(COUNTIFS($E$2:$E$72,A33,$K$2:$K$72,"Pass")&gt;0,"Closed",IF(COUNTIFS($E$2:$E$72,A33)&gt;0,"Re-failed","Awaiting confirmation")),"")</f>
        <v/>
      </c>
    </row>
    <row r="34">
      <c r="A34" t="inlineStr">
        <is>
          <t>A033</t>
        </is>
      </c>
      <c r="B34" s="2" t="n">
        <v>46253</v>
      </c>
      <c r="C34" t="inlineStr">
        <is>
          <t>Hazardous Storage</t>
        </is>
      </c>
      <c r="D34" t="inlineStr">
        <is>
          <t>Routine</t>
        </is>
      </c>
      <c r="F34" t="inlineStr">
        <is>
          <t>Auditor B</t>
        </is>
      </c>
      <c r="G34" t="n">
        <v>15</v>
      </c>
      <c r="H34" t="n">
        <v>14</v>
      </c>
      <c r="J34" s="3">
        <f>H34/G34</f>
        <v/>
      </c>
      <c r="K34">
        <f>IF(J34&gt;=0.9,"Pass","Fail")</f>
        <v/>
      </c>
      <c r="L34">
        <f>TEXT(B34,"yyyy-mm")</f>
        <v/>
      </c>
      <c r="M34">
        <f>IF(AND(D34="Routine",K34="Fail"),IF(COUNTIFS($E$2:$E$72,A34,$K$2:$K$72,"Pass")&gt;0,"Closed",IF(COUNTIFS($E$2:$E$72,A34)&gt;0,"Re-failed","Awaiting confirmation")),"")</f>
        <v/>
      </c>
    </row>
    <row r="35">
      <c r="A35" t="inlineStr">
        <is>
          <t>A034</t>
        </is>
      </c>
      <c r="B35" s="2" t="n">
        <v>46255</v>
      </c>
      <c r="C35" t="inlineStr">
        <is>
          <t>Despatch</t>
        </is>
      </c>
      <c r="D35" t="inlineStr">
        <is>
          <t>Routine</t>
        </is>
      </c>
      <c r="F35" t="inlineStr">
        <is>
          <t>Auditor A</t>
        </is>
      </c>
      <c r="G35" t="n">
        <v>12</v>
      </c>
      <c r="H35" t="n">
        <v>10</v>
      </c>
      <c r="I35" t="inlineStr">
        <is>
          <t>Load not secured</t>
        </is>
      </c>
      <c r="J35" s="3">
        <f>H35/G35</f>
        <v/>
      </c>
      <c r="K35">
        <f>IF(J35&gt;=0.9,"Pass","Fail")</f>
        <v/>
      </c>
      <c r="L35">
        <f>TEXT(B35,"yyyy-mm")</f>
        <v/>
      </c>
      <c r="M35">
        <f>IF(AND(D35="Routine",K35="Fail"),IF(COUNTIFS($E$2:$E$72,A35,$K$2:$K$72,"Pass")&gt;0,"Closed",IF(COUNTIFS($E$2:$E$72,A35)&gt;0,"Re-failed","Awaiting confirmation")),"")</f>
        <v/>
      </c>
    </row>
    <row r="36">
      <c r="A36" t="inlineStr">
        <is>
          <t>A035</t>
        </is>
      </c>
      <c r="B36" s="2" t="n">
        <v>46257</v>
      </c>
      <c r="C36" t="inlineStr">
        <is>
          <t>Returns</t>
        </is>
      </c>
      <c r="D36" t="inlineStr">
        <is>
          <t>Confirmation</t>
        </is>
      </c>
      <c r="E36" t="inlineStr">
        <is>
          <t>A029</t>
        </is>
      </c>
      <c r="F36" t="inlineStr">
        <is>
          <t>Auditor B</t>
        </is>
      </c>
      <c r="G36" t="n">
        <v>20</v>
      </c>
      <c r="H36" t="n">
        <v>18</v>
      </c>
      <c r="J36" s="3">
        <f>H36/G36</f>
        <v/>
      </c>
      <c r="K36">
        <f>IF(J36&gt;=0.9,"Pass","Fail")</f>
        <v/>
      </c>
      <c r="L36">
        <f>TEXT(B36,"yyyy-mm")</f>
        <v/>
      </c>
      <c r="M36">
        <f>IF(AND(D36="Routine",K36="Fail"),IF(COUNTIFS($E$2:$E$72,A36,$K$2:$K$72,"Pass")&gt;0,"Closed",IF(COUNTIFS($E$2:$E$72,A36)&gt;0,"Re-failed","Awaiting confirmation")),"")</f>
        <v/>
      </c>
    </row>
    <row r="37">
      <c r="A37" t="inlineStr">
        <is>
          <t>A036</t>
        </is>
      </c>
      <c r="B37" s="2" t="n">
        <v>46258</v>
      </c>
      <c r="C37" t="inlineStr">
        <is>
          <t>Hazardous Storage</t>
        </is>
      </c>
      <c r="D37" t="inlineStr">
        <is>
          <t>Routine</t>
        </is>
      </c>
      <c r="F37" t="inlineStr">
        <is>
          <t>Auditor B</t>
        </is>
      </c>
      <c r="G37" t="n">
        <v>15</v>
      </c>
      <c r="H37" t="n">
        <v>15</v>
      </c>
      <c r="J37" s="3">
        <f>H37/G37</f>
        <v/>
      </c>
      <c r="K37">
        <f>IF(J37&gt;=0.9,"Pass","Fail")</f>
        <v/>
      </c>
      <c r="L37">
        <f>TEXT(B37,"yyyy-mm")</f>
        <v/>
      </c>
      <c r="M37">
        <f>IF(AND(D37="Routine",K37="Fail"),IF(COUNTIFS($E$2:$E$72,A37,$K$2:$K$72,"Pass")&gt;0,"Closed",IF(COUNTIFS($E$2:$E$72,A37)&gt;0,"Re-failed","Awaiting confirmation")),"")</f>
        <v/>
      </c>
    </row>
    <row r="38">
      <c r="A38" t="inlineStr">
        <is>
          <t>A037</t>
        </is>
      </c>
      <c r="B38" s="2" t="n">
        <v>46260</v>
      </c>
      <c r="C38" t="inlineStr">
        <is>
          <t>Despatch</t>
        </is>
      </c>
      <c r="D38" t="inlineStr">
        <is>
          <t>Routine</t>
        </is>
      </c>
      <c r="F38" t="inlineStr">
        <is>
          <t>Auditor A</t>
        </is>
      </c>
      <c r="G38" t="n">
        <v>15</v>
      </c>
      <c r="H38" t="n">
        <v>13</v>
      </c>
      <c r="I38" t="inlineStr">
        <is>
          <t>Load not secured</t>
        </is>
      </c>
      <c r="J38" s="3">
        <f>H38/G38</f>
        <v/>
      </c>
      <c r="K38">
        <f>IF(J38&gt;=0.9,"Pass","Fail")</f>
        <v/>
      </c>
      <c r="L38">
        <f>TEXT(B38,"yyyy-mm")</f>
        <v/>
      </c>
      <c r="M38">
        <f>IF(AND(D38="Routine",K38="Fail"),IF(COUNTIFS($E$2:$E$72,A38,$K$2:$K$72,"Pass")&gt;0,"Closed",IF(COUNTIFS($E$2:$E$72,A38)&gt;0,"Re-failed","Awaiting confirmation")),"")</f>
        <v/>
      </c>
    </row>
    <row r="39">
      <c r="A39" t="inlineStr">
        <is>
          <t>A038</t>
        </is>
      </c>
      <c r="B39" s="2" t="n">
        <v>46261</v>
      </c>
      <c r="C39" t="inlineStr">
        <is>
          <t>Picking</t>
        </is>
      </c>
      <c r="D39" t="inlineStr">
        <is>
          <t>Routine</t>
        </is>
      </c>
      <c r="F39" t="inlineStr">
        <is>
          <t>Auditor A</t>
        </is>
      </c>
      <c r="G39" t="n">
        <v>15</v>
      </c>
      <c r="H39" t="n">
        <v>14</v>
      </c>
      <c r="J39" s="3">
        <f>H39/G39</f>
        <v/>
      </c>
      <c r="K39">
        <f>IF(J39&gt;=0.9,"Pass","Fail")</f>
        <v/>
      </c>
      <c r="L39">
        <f>TEXT(B39,"yyyy-mm")</f>
        <v/>
      </c>
      <c r="M39">
        <f>IF(AND(D39="Routine",K39="Fail"),IF(COUNTIFS($E$2:$E$72,A39,$K$2:$K$72,"Pass")&gt;0,"Closed",IF(COUNTIFS($E$2:$E$72,A39)&gt;0,"Re-failed","Awaiting confirmation")),"")</f>
        <v/>
      </c>
    </row>
    <row r="40">
      <c r="A40" t="inlineStr">
        <is>
          <t>A039</t>
        </is>
      </c>
      <c r="B40" s="2" t="n">
        <v>46262</v>
      </c>
      <c r="C40" t="inlineStr">
        <is>
          <t>Returns</t>
        </is>
      </c>
      <c r="D40" t="inlineStr">
        <is>
          <t>Routine</t>
        </is>
      </c>
      <c r="F40" t="inlineStr">
        <is>
          <t>Auditor A</t>
        </is>
      </c>
      <c r="G40" t="n">
        <v>15</v>
      </c>
      <c r="H40" t="n">
        <v>13</v>
      </c>
      <c r="I40" t="inlineStr">
        <is>
          <t>Item not quarantined</t>
        </is>
      </c>
      <c r="J40" s="3">
        <f>H40/G40</f>
        <v/>
      </c>
      <c r="K40">
        <f>IF(J40&gt;=0.9,"Pass","Fail")</f>
        <v/>
      </c>
      <c r="L40">
        <f>TEXT(B40,"yyyy-mm")</f>
        <v/>
      </c>
      <c r="M40">
        <f>IF(AND(D40="Routine",K40="Fail"),IF(COUNTIFS($E$2:$E$72,A40,$K$2:$K$72,"Pass")&gt;0,"Closed",IF(COUNTIFS($E$2:$E$72,A40)&gt;0,"Re-failed","Awaiting confirmation")),"")</f>
        <v/>
      </c>
    </row>
    <row r="41">
      <c r="A41" t="inlineStr">
        <is>
          <t>A040</t>
        </is>
      </c>
      <c r="B41" s="2" t="n">
        <v>46264</v>
      </c>
      <c r="C41" t="inlineStr">
        <is>
          <t>Returns</t>
        </is>
      </c>
      <c r="D41" t="inlineStr">
        <is>
          <t>Confirmation</t>
        </is>
      </c>
      <c r="E41" t="inlineStr">
        <is>
          <t>A031</t>
        </is>
      </c>
      <c r="F41" t="inlineStr">
        <is>
          <t>Auditor A</t>
        </is>
      </c>
      <c r="G41" t="n">
        <v>20</v>
      </c>
      <c r="H41" t="n">
        <v>17</v>
      </c>
      <c r="I41" t="inlineStr">
        <is>
          <t>Item not quarantined</t>
        </is>
      </c>
      <c r="J41" s="3">
        <f>H41/G41</f>
        <v/>
      </c>
      <c r="K41">
        <f>IF(J41&gt;=0.9,"Pass","Fail")</f>
        <v/>
      </c>
      <c r="L41">
        <f>TEXT(B41,"yyyy-mm")</f>
        <v/>
      </c>
      <c r="M41">
        <f>IF(AND(D41="Routine",K41="Fail"),IF(COUNTIFS($E$2:$E$72,A41,$K$2:$K$72,"Pass")&gt;0,"Closed",IF(COUNTIFS($E$2:$E$72,A41)&gt;0,"Re-failed","Awaiting confirmation")),"")</f>
        <v/>
      </c>
    </row>
    <row r="42">
      <c r="A42" t="inlineStr">
        <is>
          <t>A041</t>
        </is>
      </c>
      <c r="B42" s="2" t="n">
        <v>46266</v>
      </c>
      <c r="C42" t="inlineStr">
        <is>
          <t>Goods In</t>
        </is>
      </c>
      <c r="D42" t="inlineStr">
        <is>
          <t>Routine</t>
        </is>
      </c>
      <c r="F42" t="inlineStr">
        <is>
          <t>Auditor A</t>
        </is>
      </c>
      <c r="G42" t="n">
        <v>15</v>
      </c>
      <c r="H42" t="n">
        <v>14</v>
      </c>
      <c r="J42" s="3">
        <f>H42/G42</f>
        <v/>
      </c>
      <c r="K42">
        <f>IF(J42&gt;=0.9,"Pass","Fail")</f>
        <v/>
      </c>
      <c r="L42">
        <f>TEXT(B42,"yyyy-mm")</f>
        <v/>
      </c>
      <c r="M42">
        <f>IF(AND(D42="Routine",K42="Fail"),IF(COUNTIFS($E$2:$E$72,A42,$K$2:$K$72,"Pass")&gt;0,"Closed",IF(COUNTIFS($E$2:$E$72,A42)&gt;0,"Re-failed","Awaiting confirmation")),"")</f>
        <v/>
      </c>
    </row>
    <row r="43">
      <c r="A43" t="inlineStr">
        <is>
          <t>A042</t>
        </is>
      </c>
      <c r="B43" s="2" t="n">
        <v>46266</v>
      </c>
      <c r="C43" t="inlineStr">
        <is>
          <t>Hazardous Storage</t>
        </is>
      </c>
      <c r="D43" t="inlineStr">
        <is>
          <t>Routine</t>
        </is>
      </c>
      <c r="F43" t="inlineStr">
        <is>
          <t>Auditor B</t>
        </is>
      </c>
      <c r="G43" t="n">
        <v>12</v>
      </c>
      <c r="H43" t="n">
        <v>11</v>
      </c>
      <c r="J43" s="3">
        <f>H43/G43</f>
        <v/>
      </c>
      <c r="K43">
        <f>IF(J43&gt;=0.9,"Pass","Fail")</f>
        <v/>
      </c>
      <c r="L43">
        <f>TEXT(B43,"yyyy-mm")</f>
        <v/>
      </c>
      <c r="M43">
        <f>IF(AND(D43="Routine",K43="Fail"),IF(COUNTIFS($E$2:$E$72,A43,$K$2:$K$72,"Pass")&gt;0,"Closed",IF(COUNTIFS($E$2:$E$72,A43)&gt;0,"Re-failed","Awaiting confirmation")),"")</f>
        <v/>
      </c>
    </row>
    <row r="44">
      <c r="A44" t="inlineStr">
        <is>
          <t>A043</t>
        </is>
      </c>
      <c r="B44" s="2" t="n">
        <v>46269</v>
      </c>
      <c r="C44" t="inlineStr">
        <is>
          <t>Picking</t>
        </is>
      </c>
      <c r="D44" t="inlineStr">
        <is>
          <t>Routine</t>
        </is>
      </c>
      <c r="F44" t="inlineStr">
        <is>
          <t>Auditor A</t>
        </is>
      </c>
      <c r="G44" t="n">
        <v>15</v>
      </c>
      <c r="H44" t="n">
        <v>13</v>
      </c>
      <c r="I44" t="inlineStr">
        <is>
          <t>Pick not scanned</t>
        </is>
      </c>
      <c r="J44" s="3">
        <f>H44/G44</f>
        <v/>
      </c>
      <c r="K44">
        <f>IF(J44&gt;=0.9,"Pass","Fail")</f>
        <v/>
      </c>
      <c r="L44">
        <f>TEXT(B44,"yyyy-mm")</f>
        <v/>
      </c>
      <c r="M44">
        <f>IF(AND(D44="Routine",K44="Fail"),IF(COUNTIFS($E$2:$E$72,A44,$K$2:$K$72,"Pass")&gt;0,"Closed",IF(COUNTIFS($E$2:$E$72,A44)&gt;0,"Re-failed","Awaiting confirmation")),"")</f>
        <v/>
      </c>
    </row>
    <row r="45">
      <c r="A45" t="inlineStr">
        <is>
          <t>A044</t>
        </is>
      </c>
      <c r="B45" s="2" t="n">
        <v>46270</v>
      </c>
      <c r="C45" t="inlineStr">
        <is>
          <t>Despatch</t>
        </is>
      </c>
      <c r="D45" t="inlineStr">
        <is>
          <t>Confirmation</t>
        </is>
      </c>
      <c r="E45" t="inlineStr">
        <is>
          <t>A037</t>
        </is>
      </c>
      <c r="F45" t="inlineStr">
        <is>
          <t>Auditor A</t>
        </is>
      </c>
      <c r="G45" t="n">
        <v>15</v>
      </c>
      <c r="H45" t="n">
        <v>15</v>
      </c>
      <c r="J45" s="3">
        <f>H45/G45</f>
        <v/>
      </c>
      <c r="K45">
        <f>IF(J45&gt;=0.9,"Pass","Fail")</f>
        <v/>
      </c>
      <c r="L45">
        <f>TEXT(B45,"yyyy-mm")</f>
        <v/>
      </c>
      <c r="M45">
        <f>IF(AND(D45="Routine",K45="Fail"),IF(COUNTIFS($E$2:$E$72,A45,$K$2:$K$72,"Pass")&gt;0,"Closed",IF(COUNTIFS($E$2:$E$72,A45)&gt;0,"Re-failed","Awaiting confirmation")),"")</f>
        <v/>
      </c>
    </row>
    <row r="46">
      <c r="A46" t="inlineStr">
        <is>
          <t>A045</t>
        </is>
      </c>
      <c r="B46" s="2" t="n">
        <v>46270</v>
      </c>
      <c r="C46" t="inlineStr">
        <is>
          <t>Returns</t>
        </is>
      </c>
      <c r="D46" t="inlineStr">
        <is>
          <t>Confirmation</t>
        </is>
      </c>
      <c r="E46" t="inlineStr">
        <is>
          <t>A039</t>
        </is>
      </c>
      <c r="F46" t="inlineStr">
        <is>
          <t>Auditor A</t>
        </is>
      </c>
      <c r="G46" t="n">
        <v>15</v>
      </c>
      <c r="H46" t="n">
        <v>13</v>
      </c>
      <c r="I46" t="inlineStr">
        <is>
          <t>Reason code missing</t>
        </is>
      </c>
      <c r="J46" s="3">
        <f>H46/G46</f>
        <v/>
      </c>
      <c r="K46">
        <f>IF(J46&gt;=0.9,"Pass","Fail")</f>
        <v/>
      </c>
      <c r="L46">
        <f>TEXT(B46,"yyyy-mm")</f>
        <v/>
      </c>
      <c r="M46">
        <f>IF(AND(D46="Routine",K46="Fail"),IF(COUNTIFS($E$2:$E$72,A46,$K$2:$K$72,"Pass")&gt;0,"Closed",IF(COUNTIFS($E$2:$E$72,A46)&gt;0,"Re-failed","Awaiting confirmation")),"")</f>
        <v/>
      </c>
    </row>
    <row r="47">
      <c r="A47" t="inlineStr">
        <is>
          <t>A046</t>
        </is>
      </c>
      <c r="B47" s="2" t="n">
        <v>46272</v>
      </c>
      <c r="C47" t="inlineStr">
        <is>
          <t>Goods In</t>
        </is>
      </c>
      <c r="D47" t="inlineStr">
        <is>
          <t>Routine</t>
        </is>
      </c>
      <c r="F47" t="inlineStr">
        <is>
          <t>Auditor A</t>
        </is>
      </c>
      <c r="G47" t="n">
        <v>10</v>
      </c>
      <c r="H47" t="n">
        <v>10</v>
      </c>
      <c r="J47" s="3">
        <f>H47/G47</f>
        <v/>
      </c>
      <c r="K47">
        <f>IF(J47&gt;=0.9,"Pass","Fail")</f>
        <v/>
      </c>
      <c r="L47">
        <f>TEXT(B47,"yyyy-mm")</f>
        <v/>
      </c>
      <c r="M47">
        <f>IF(AND(D47="Routine",K47="Fail"),IF(COUNTIFS($E$2:$E$72,A47,$K$2:$K$72,"Pass")&gt;0,"Closed",IF(COUNTIFS($E$2:$E$72,A47)&gt;0,"Re-failed","Awaiting confirmation")),"")</f>
        <v/>
      </c>
    </row>
    <row r="48">
      <c r="A48" t="inlineStr">
        <is>
          <t>A047</t>
        </is>
      </c>
      <c r="B48" s="2" t="n">
        <v>46273</v>
      </c>
      <c r="C48" t="inlineStr">
        <is>
          <t>Returns</t>
        </is>
      </c>
      <c r="D48" t="inlineStr">
        <is>
          <t>Routine</t>
        </is>
      </c>
      <c r="F48" t="inlineStr">
        <is>
          <t>Auditor A</t>
        </is>
      </c>
      <c r="G48" t="n">
        <v>10</v>
      </c>
      <c r="H48" t="n">
        <v>9</v>
      </c>
      <c r="J48" s="3">
        <f>H48/G48</f>
        <v/>
      </c>
      <c r="K48">
        <f>IF(J48&gt;=0.9,"Pass","Fail")</f>
        <v/>
      </c>
      <c r="L48">
        <f>TEXT(B48,"yyyy-mm")</f>
        <v/>
      </c>
      <c r="M48">
        <f>IF(AND(D48="Routine",K48="Fail"),IF(COUNTIFS($E$2:$E$72,A48,$K$2:$K$72,"Pass")&gt;0,"Closed",IF(COUNTIFS($E$2:$E$72,A48)&gt;0,"Re-failed","Awaiting confirmation")),"")</f>
        <v/>
      </c>
    </row>
    <row r="49">
      <c r="A49" t="inlineStr">
        <is>
          <t>A048</t>
        </is>
      </c>
      <c r="B49" s="2" t="n">
        <v>46274</v>
      </c>
      <c r="C49" t="inlineStr">
        <is>
          <t>Picking</t>
        </is>
      </c>
      <c r="D49" t="inlineStr">
        <is>
          <t>Routine</t>
        </is>
      </c>
      <c r="F49" t="inlineStr">
        <is>
          <t>Auditor B</t>
        </is>
      </c>
      <c r="G49" t="n">
        <v>20</v>
      </c>
      <c r="H49" t="n">
        <v>17</v>
      </c>
      <c r="I49" t="inlineStr">
        <is>
          <t>Wrong location pick</t>
        </is>
      </c>
      <c r="J49" s="3">
        <f>H49/G49</f>
        <v/>
      </c>
      <c r="K49">
        <f>IF(J49&gt;=0.9,"Pass","Fail")</f>
        <v/>
      </c>
      <c r="L49">
        <f>TEXT(B49,"yyyy-mm")</f>
        <v/>
      </c>
      <c r="M49">
        <f>IF(AND(D49="Routine",K49="Fail"),IF(COUNTIFS($E$2:$E$72,A49,$K$2:$K$72,"Pass")&gt;0,"Closed",IF(COUNTIFS($E$2:$E$72,A49)&gt;0,"Re-failed","Awaiting confirmation")),"")</f>
        <v/>
      </c>
    </row>
    <row r="50">
      <c r="A50" t="inlineStr">
        <is>
          <t>A049</t>
        </is>
      </c>
      <c r="B50" s="2" t="n">
        <v>46276</v>
      </c>
      <c r="C50" t="inlineStr">
        <is>
          <t>Hazardous Storage</t>
        </is>
      </c>
      <c r="D50" t="inlineStr">
        <is>
          <t>Routine</t>
        </is>
      </c>
      <c r="F50" t="inlineStr">
        <is>
          <t>Auditor B</t>
        </is>
      </c>
      <c r="G50" t="n">
        <v>10</v>
      </c>
      <c r="H50" t="n">
        <v>10</v>
      </c>
      <c r="J50" s="3">
        <f>H50/G50</f>
        <v/>
      </c>
      <c r="K50">
        <f>IF(J50&gt;=0.9,"Pass","Fail")</f>
        <v/>
      </c>
      <c r="L50">
        <f>TEXT(B50,"yyyy-mm")</f>
        <v/>
      </c>
      <c r="M50">
        <f>IF(AND(D50="Routine",K50="Fail"),IF(COUNTIFS($E$2:$E$72,A50,$K$2:$K$72,"Pass")&gt;0,"Closed",IF(COUNTIFS($E$2:$E$72,A50)&gt;0,"Re-failed","Awaiting confirmation")),"")</f>
        <v/>
      </c>
    </row>
    <row r="51">
      <c r="A51" t="inlineStr">
        <is>
          <t>A050</t>
        </is>
      </c>
      <c r="B51" s="2" t="n">
        <v>46279</v>
      </c>
      <c r="C51" t="inlineStr">
        <is>
          <t>Picking</t>
        </is>
      </c>
      <c r="D51" t="inlineStr">
        <is>
          <t>Routine</t>
        </is>
      </c>
      <c r="F51" t="inlineStr">
        <is>
          <t>Auditor A</t>
        </is>
      </c>
      <c r="G51" t="n">
        <v>10</v>
      </c>
      <c r="H51" t="n">
        <v>10</v>
      </c>
      <c r="J51" s="3">
        <f>H51/G51</f>
        <v/>
      </c>
      <c r="K51">
        <f>IF(J51&gt;=0.9,"Pass","Fail")</f>
        <v/>
      </c>
      <c r="L51">
        <f>TEXT(B51,"yyyy-mm")</f>
        <v/>
      </c>
      <c r="M51">
        <f>IF(AND(D51="Routine",K51="Fail"),IF(COUNTIFS($E$2:$E$72,A51,$K$2:$K$72,"Pass")&gt;0,"Closed",IF(COUNTIFS($E$2:$E$72,A51)&gt;0,"Re-failed","Awaiting confirmation")),"")</f>
        <v/>
      </c>
    </row>
    <row r="52">
      <c r="A52" t="inlineStr">
        <is>
          <t>A051</t>
        </is>
      </c>
      <c r="B52" s="2" t="n">
        <v>46279</v>
      </c>
      <c r="C52" t="inlineStr">
        <is>
          <t>Picking</t>
        </is>
      </c>
      <c r="D52" t="inlineStr">
        <is>
          <t>Confirmation</t>
        </is>
      </c>
      <c r="E52" t="inlineStr">
        <is>
          <t>A043</t>
        </is>
      </c>
      <c r="F52" t="inlineStr">
        <is>
          <t>Auditor A</t>
        </is>
      </c>
      <c r="G52" t="n">
        <v>15</v>
      </c>
      <c r="H52" t="n">
        <v>12</v>
      </c>
      <c r="I52" t="inlineStr">
        <is>
          <t>Wrong location pick</t>
        </is>
      </c>
      <c r="J52" s="3">
        <f>H52/G52</f>
        <v/>
      </c>
      <c r="K52">
        <f>IF(J52&gt;=0.9,"Pass","Fail")</f>
        <v/>
      </c>
      <c r="L52">
        <f>TEXT(B52,"yyyy-mm")</f>
        <v/>
      </c>
      <c r="M52">
        <f>IF(AND(D52="Routine",K52="Fail"),IF(COUNTIFS($E$2:$E$72,A52,$K$2:$K$72,"Pass")&gt;0,"Closed",IF(COUNTIFS($E$2:$E$72,A52)&gt;0,"Re-failed","Awaiting confirmation")),"")</f>
        <v/>
      </c>
    </row>
    <row r="53">
      <c r="A53" t="inlineStr">
        <is>
          <t>A052</t>
        </is>
      </c>
      <c r="B53" s="2" t="n">
        <v>46280</v>
      </c>
      <c r="C53" t="inlineStr">
        <is>
          <t>Despatch</t>
        </is>
      </c>
      <c r="D53" t="inlineStr">
        <is>
          <t>Routine</t>
        </is>
      </c>
      <c r="F53" t="inlineStr">
        <is>
          <t>Auditor B</t>
        </is>
      </c>
      <c r="G53" t="n">
        <v>20</v>
      </c>
      <c r="H53" t="n">
        <v>18</v>
      </c>
      <c r="J53" s="3">
        <f>H53/G53</f>
        <v/>
      </c>
      <c r="K53">
        <f>IF(J53&gt;=0.9,"Pass","Fail")</f>
        <v/>
      </c>
      <c r="L53">
        <f>TEXT(B53,"yyyy-mm")</f>
        <v/>
      </c>
      <c r="M53">
        <f>IF(AND(D53="Routine",K53="Fail"),IF(COUNTIFS($E$2:$E$72,A53,$K$2:$K$72,"Pass")&gt;0,"Closed",IF(COUNTIFS($E$2:$E$72,A53)&gt;0,"Re-failed","Awaiting confirmation")),"")</f>
        <v/>
      </c>
    </row>
    <row r="54">
      <c r="A54" t="inlineStr">
        <is>
          <t>A053</t>
        </is>
      </c>
      <c r="B54" s="2" t="n">
        <v>46280</v>
      </c>
      <c r="C54" t="inlineStr">
        <is>
          <t>Hazardous Storage</t>
        </is>
      </c>
      <c r="D54" t="inlineStr">
        <is>
          <t>Routine</t>
        </is>
      </c>
      <c r="F54" t="inlineStr">
        <is>
          <t>Auditor A</t>
        </is>
      </c>
      <c r="G54" t="n">
        <v>10</v>
      </c>
      <c r="H54" t="n">
        <v>10</v>
      </c>
      <c r="J54" s="3">
        <f>H54/G54</f>
        <v/>
      </c>
      <c r="K54">
        <f>IF(J54&gt;=0.9,"Pass","Fail")</f>
        <v/>
      </c>
      <c r="L54">
        <f>TEXT(B54,"yyyy-mm")</f>
        <v/>
      </c>
      <c r="M54">
        <f>IF(AND(D54="Routine",K54="Fail"),IF(COUNTIFS($E$2:$E$72,A54,$K$2:$K$72,"Pass")&gt;0,"Closed",IF(COUNTIFS($E$2:$E$72,A54)&gt;0,"Re-failed","Awaiting confirmation")),"")</f>
        <v/>
      </c>
    </row>
    <row r="55">
      <c r="A55" t="inlineStr">
        <is>
          <t>A054</t>
        </is>
      </c>
      <c r="B55" s="2" t="n">
        <v>46282</v>
      </c>
      <c r="C55" t="inlineStr">
        <is>
          <t>Returns</t>
        </is>
      </c>
      <c r="D55" t="inlineStr">
        <is>
          <t>Routine</t>
        </is>
      </c>
      <c r="F55" t="inlineStr">
        <is>
          <t>Auditor A</t>
        </is>
      </c>
      <c r="G55" t="n">
        <v>20</v>
      </c>
      <c r="H55" t="n">
        <v>16</v>
      </c>
      <c r="I55" t="inlineStr">
        <is>
          <t>Reason code missing</t>
        </is>
      </c>
      <c r="J55" s="3">
        <f>H55/G55</f>
        <v/>
      </c>
      <c r="K55">
        <f>IF(J55&gt;=0.9,"Pass","Fail")</f>
        <v/>
      </c>
      <c r="L55">
        <f>TEXT(B55,"yyyy-mm")</f>
        <v/>
      </c>
      <c r="M55">
        <f>IF(AND(D55="Routine",K55="Fail"),IF(COUNTIFS($E$2:$E$72,A55,$K$2:$K$72,"Pass")&gt;0,"Closed",IF(COUNTIFS($E$2:$E$72,A55)&gt;0,"Re-failed","Awaiting confirmation")),"")</f>
        <v/>
      </c>
    </row>
    <row r="56">
      <c r="A56" t="inlineStr">
        <is>
          <t>A055</t>
        </is>
      </c>
      <c r="B56" s="2" t="n">
        <v>46286</v>
      </c>
      <c r="C56" t="inlineStr">
        <is>
          <t>Despatch</t>
        </is>
      </c>
      <c r="D56" t="inlineStr">
        <is>
          <t>Routine</t>
        </is>
      </c>
      <c r="F56" t="inlineStr">
        <is>
          <t>Auditor A</t>
        </is>
      </c>
      <c r="G56" t="n">
        <v>12</v>
      </c>
      <c r="H56" t="n">
        <v>10</v>
      </c>
      <c r="I56" t="inlineStr">
        <is>
          <t>Load not secured</t>
        </is>
      </c>
      <c r="J56" s="3">
        <f>H56/G56</f>
        <v/>
      </c>
      <c r="K56">
        <f>IF(J56&gt;=0.9,"Pass","Fail")</f>
        <v/>
      </c>
      <c r="L56">
        <f>TEXT(B56,"yyyy-mm")</f>
        <v/>
      </c>
      <c r="M56">
        <f>IF(AND(D56="Routine",K56="Fail"),IF(COUNTIFS($E$2:$E$72,A56,$K$2:$K$72,"Pass")&gt;0,"Closed",IF(COUNTIFS($E$2:$E$72,A56)&gt;0,"Re-failed","Awaiting confirmation")),"")</f>
        <v/>
      </c>
    </row>
    <row r="57">
      <c r="A57" t="inlineStr">
        <is>
          <t>A056</t>
        </is>
      </c>
      <c r="B57" s="2" t="n">
        <v>46287</v>
      </c>
      <c r="C57" t="inlineStr">
        <is>
          <t>Returns</t>
        </is>
      </c>
      <c r="D57" t="inlineStr">
        <is>
          <t>Routine</t>
        </is>
      </c>
      <c r="F57" t="inlineStr">
        <is>
          <t>Auditor A</t>
        </is>
      </c>
      <c r="G57" t="n">
        <v>15</v>
      </c>
      <c r="H57" t="n">
        <v>14</v>
      </c>
      <c r="J57" s="3">
        <f>H57/G57</f>
        <v/>
      </c>
      <c r="K57">
        <f>IF(J57&gt;=0.9,"Pass","Fail")</f>
        <v/>
      </c>
      <c r="L57">
        <f>TEXT(B57,"yyyy-mm")</f>
        <v/>
      </c>
      <c r="M57">
        <f>IF(AND(D57="Routine",K57="Fail"),IF(COUNTIFS($E$2:$E$72,A57,$K$2:$K$72,"Pass")&gt;0,"Closed",IF(COUNTIFS($E$2:$E$72,A57)&gt;0,"Re-failed","Awaiting confirmation")),"")</f>
        <v/>
      </c>
    </row>
    <row r="58">
      <c r="A58" t="inlineStr">
        <is>
          <t>A057</t>
        </is>
      </c>
      <c r="B58" s="2" t="n">
        <v>46287</v>
      </c>
      <c r="C58" t="inlineStr">
        <is>
          <t>Picking</t>
        </is>
      </c>
      <c r="D58" t="inlineStr">
        <is>
          <t>Confirmation</t>
        </is>
      </c>
      <c r="E58" t="inlineStr">
        <is>
          <t>A048</t>
        </is>
      </c>
      <c r="F58" t="inlineStr">
        <is>
          <t>Auditor B</t>
        </is>
      </c>
      <c r="G58" t="n">
        <v>20</v>
      </c>
      <c r="H58" t="n">
        <v>19</v>
      </c>
      <c r="J58" s="3">
        <f>H58/G58</f>
        <v/>
      </c>
      <c r="K58">
        <f>IF(J58&gt;=0.9,"Pass","Fail")</f>
        <v/>
      </c>
      <c r="L58">
        <f>TEXT(B58,"yyyy-mm")</f>
        <v/>
      </c>
      <c r="M58">
        <f>IF(AND(D58="Routine",K58="Fail"),IF(COUNTIFS($E$2:$E$72,A58,$K$2:$K$72,"Pass")&gt;0,"Closed",IF(COUNTIFS($E$2:$E$72,A58)&gt;0,"Re-failed","Awaiting confirmation")),"")</f>
        <v/>
      </c>
    </row>
    <row r="59">
      <c r="A59" t="inlineStr">
        <is>
          <t>A058</t>
        </is>
      </c>
      <c r="B59" s="2" t="n">
        <v>46288</v>
      </c>
      <c r="C59" t="inlineStr">
        <is>
          <t>Picking</t>
        </is>
      </c>
      <c r="D59" t="inlineStr">
        <is>
          <t>Routine</t>
        </is>
      </c>
      <c r="F59" t="inlineStr">
        <is>
          <t>Auditor A</t>
        </is>
      </c>
      <c r="G59" t="n">
        <v>12</v>
      </c>
      <c r="H59" t="n">
        <v>11</v>
      </c>
      <c r="J59" s="3">
        <f>H59/G59</f>
        <v/>
      </c>
      <c r="K59">
        <f>IF(J59&gt;=0.9,"Pass","Fail")</f>
        <v/>
      </c>
      <c r="L59">
        <f>TEXT(B59,"yyyy-mm")</f>
        <v/>
      </c>
      <c r="M59">
        <f>IF(AND(D59="Routine",K59="Fail"),IF(COUNTIFS($E$2:$E$72,A59,$K$2:$K$72,"Pass")&gt;0,"Closed",IF(COUNTIFS($E$2:$E$72,A59)&gt;0,"Re-failed","Awaiting confirmation")),"")</f>
        <v/>
      </c>
    </row>
    <row r="60">
      <c r="A60" t="inlineStr">
        <is>
          <t>A059</t>
        </is>
      </c>
      <c r="B60" s="2" t="n">
        <v>46288</v>
      </c>
      <c r="C60" t="inlineStr">
        <is>
          <t>Hazardous Storage</t>
        </is>
      </c>
      <c r="D60" t="inlineStr">
        <is>
          <t>Routine</t>
        </is>
      </c>
      <c r="F60" t="inlineStr">
        <is>
          <t>Auditor A</t>
        </is>
      </c>
      <c r="G60" t="n">
        <v>15</v>
      </c>
      <c r="H60" t="n">
        <v>14</v>
      </c>
      <c r="J60" s="3">
        <f>H60/G60</f>
        <v/>
      </c>
      <c r="K60">
        <f>IF(J60&gt;=0.9,"Pass","Fail")</f>
        <v/>
      </c>
      <c r="L60">
        <f>TEXT(B60,"yyyy-mm")</f>
        <v/>
      </c>
      <c r="M60">
        <f>IF(AND(D60="Routine",K60="Fail"),IF(COUNTIFS($E$2:$E$72,A60,$K$2:$K$72,"Pass")&gt;0,"Closed",IF(COUNTIFS($E$2:$E$72,A60)&gt;0,"Re-failed","Awaiting confirmation")),"")</f>
        <v/>
      </c>
    </row>
    <row r="61">
      <c r="A61" t="inlineStr">
        <is>
          <t>A060</t>
        </is>
      </c>
      <c r="B61" s="2" t="n">
        <v>46289</v>
      </c>
      <c r="C61" t="inlineStr">
        <is>
          <t>Goods In</t>
        </is>
      </c>
      <c r="D61" t="inlineStr">
        <is>
          <t>Routine</t>
        </is>
      </c>
      <c r="F61" t="inlineStr">
        <is>
          <t>Auditor B</t>
        </is>
      </c>
      <c r="G61" t="n">
        <v>12</v>
      </c>
      <c r="H61" t="n">
        <v>11</v>
      </c>
      <c r="J61" s="3">
        <f>H61/G61</f>
        <v/>
      </c>
      <c r="K61">
        <f>IF(J61&gt;=0.9,"Pass","Fail")</f>
        <v/>
      </c>
      <c r="L61">
        <f>TEXT(B61,"yyyy-mm")</f>
        <v/>
      </c>
      <c r="M61">
        <f>IF(AND(D61="Routine",K61="Fail"),IF(COUNTIFS($E$2:$E$72,A61,$K$2:$K$72,"Pass")&gt;0,"Closed",IF(COUNTIFS($E$2:$E$72,A61)&gt;0,"Re-failed","Awaiting confirmation")),"")</f>
        <v/>
      </c>
    </row>
    <row r="62">
      <c r="A62" t="inlineStr">
        <is>
          <t>A061</t>
        </is>
      </c>
      <c r="B62" s="2" t="n">
        <v>46293</v>
      </c>
      <c r="C62" t="inlineStr">
        <is>
          <t>Hazardous Storage</t>
        </is>
      </c>
      <c r="D62" t="inlineStr">
        <is>
          <t>Routine</t>
        </is>
      </c>
      <c r="F62" t="inlineStr">
        <is>
          <t>Auditor B</t>
        </is>
      </c>
      <c r="G62" t="n">
        <v>10</v>
      </c>
      <c r="H62" t="n">
        <v>10</v>
      </c>
      <c r="J62" s="3">
        <f>H62/G62</f>
        <v/>
      </c>
      <c r="K62">
        <f>IF(J62&gt;=0.9,"Pass","Fail")</f>
        <v/>
      </c>
      <c r="L62">
        <f>TEXT(B62,"yyyy-mm")</f>
        <v/>
      </c>
      <c r="M62">
        <f>IF(AND(D62="Routine",K62="Fail"),IF(COUNTIFS($E$2:$E$72,A62,$K$2:$K$72,"Pass")&gt;0,"Closed",IF(COUNTIFS($E$2:$E$72,A62)&gt;0,"Re-failed","Awaiting confirmation")),"")</f>
        <v/>
      </c>
    </row>
    <row r="63">
      <c r="A63" t="inlineStr">
        <is>
          <t>A062</t>
        </is>
      </c>
      <c r="B63" s="2" t="n">
        <v>46294</v>
      </c>
      <c r="C63" t="inlineStr">
        <is>
          <t>Returns</t>
        </is>
      </c>
      <c r="D63" t="inlineStr">
        <is>
          <t>Routine</t>
        </is>
      </c>
      <c r="F63" t="inlineStr">
        <is>
          <t>Auditor A</t>
        </is>
      </c>
      <c r="G63" t="n">
        <v>12</v>
      </c>
      <c r="H63" t="n">
        <v>10</v>
      </c>
      <c r="I63" t="inlineStr">
        <is>
          <t>Reason code missing</t>
        </is>
      </c>
      <c r="J63" s="3">
        <f>H63/G63</f>
        <v/>
      </c>
      <c r="K63">
        <f>IF(J63&gt;=0.9,"Pass","Fail")</f>
        <v/>
      </c>
      <c r="L63">
        <f>TEXT(B63,"yyyy-mm")</f>
        <v/>
      </c>
      <c r="M63">
        <f>IF(AND(D63="Routine",K63="Fail"),IF(COUNTIFS($E$2:$E$72,A63,$K$2:$K$72,"Pass")&gt;0,"Closed",IF(COUNTIFS($E$2:$E$72,A63)&gt;0,"Re-failed","Awaiting confirmation")),"")</f>
        <v/>
      </c>
    </row>
    <row r="64">
      <c r="A64" t="inlineStr">
        <is>
          <t>A063</t>
        </is>
      </c>
      <c r="B64" s="2" t="n">
        <v>46294</v>
      </c>
      <c r="C64" t="inlineStr">
        <is>
          <t>Despatch</t>
        </is>
      </c>
      <c r="D64" t="inlineStr">
        <is>
          <t>Confirmation</t>
        </is>
      </c>
      <c r="E64" t="inlineStr">
        <is>
          <t>A055</t>
        </is>
      </c>
      <c r="F64" t="inlineStr">
        <is>
          <t>Auditor A</t>
        </is>
      </c>
      <c r="G64" t="n">
        <v>12</v>
      </c>
      <c r="H64" t="n">
        <v>11</v>
      </c>
      <c r="J64" s="3">
        <f>H64/G64</f>
        <v/>
      </c>
      <c r="K64">
        <f>IF(J64&gt;=0.9,"Pass","Fail")</f>
        <v/>
      </c>
      <c r="L64">
        <f>TEXT(B64,"yyyy-mm")</f>
        <v/>
      </c>
      <c r="M64">
        <f>IF(AND(D64="Routine",K64="Fail"),IF(COUNTIFS($E$2:$E$72,A64,$K$2:$K$72,"Pass")&gt;0,"Closed",IF(COUNTIFS($E$2:$E$72,A64)&gt;0,"Re-failed","Awaiting confirmation")),"")</f>
        <v/>
      </c>
    </row>
    <row r="65">
      <c r="A65" t="inlineStr">
        <is>
          <t>A064</t>
        </is>
      </c>
      <c r="B65" s="2" t="n">
        <v>46296</v>
      </c>
      <c r="C65" t="inlineStr">
        <is>
          <t>Picking</t>
        </is>
      </c>
      <c r="D65" t="inlineStr">
        <is>
          <t>Routine</t>
        </is>
      </c>
      <c r="F65" t="inlineStr">
        <is>
          <t>Auditor A</t>
        </is>
      </c>
      <c r="G65" t="n">
        <v>20</v>
      </c>
      <c r="H65" t="n">
        <v>18</v>
      </c>
      <c r="J65" s="3">
        <f>H65/G65</f>
        <v/>
      </c>
      <c r="K65">
        <f>IF(J65&gt;=0.9,"Pass","Fail")</f>
        <v/>
      </c>
      <c r="L65">
        <f>TEXT(B65,"yyyy-mm")</f>
        <v/>
      </c>
      <c r="M65">
        <f>IF(AND(D65="Routine",K65="Fail"),IF(COUNTIFS($E$2:$E$72,A65,$K$2:$K$72,"Pass")&gt;0,"Closed",IF(COUNTIFS($E$2:$E$72,A65)&gt;0,"Re-failed","Awaiting confirmation")),"")</f>
        <v/>
      </c>
    </row>
    <row r="66">
      <c r="A66" t="inlineStr">
        <is>
          <t>A065</t>
        </is>
      </c>
      <c r="B66" s="2" t="n">
        <v>46297</v>
      </c>
      <c r="C66" t="inlineStr">
        <is>
          <t>Despatch</t>
        </is>
      </c>
      <c r="D66" t="inlineStr">
        <is>
          <t>Routine</t>
        </is>
      </c>
      <c r="F66" t="inlineStr">
        <is>
          <t>Auditor A</t>
        </is>
      </c>
      <c r="G66" t="n">
        <v>10</v>
      </c>
      <c r="H66" t="n">
        <v>10</v>
      </c>
      <c r="J66" s="3">
        <f>H66/G66</f>
        <v/>
      </c>
      <c r="K66">
        <f>IF(J66&gt;=0.9,"Pass","Fail")</f>
        <v/>
      </c>
      <c r="L66">
        <f>TEXT(B66,"yyyy-mm")</f>
        <v/>
      </c>
      <c r="M66">
        <f>IF(AND(D66="Routine",K66="Fail"),IF(COUNTIFS($E$2:$E$72,A66,$K$2:$K$72,"Pass")&gt;0,"Closed",IF(COUNTIFS($E$2:$E$72,A66)&gt;0,"Re-failed","Awaiting confirmation")),"")</f>
        <v/>
      </c>
    </row>
    <row r="67">
      <c r="A67" t="inlineStr">
        <is>
          <t>A066</t>
        </is>
      </c>
      <c r="B67" s="2" t="n">
        <v>46300</v>
      </c>
      <c r="C67" t="inlineStr">
        <is>
          <t>Goods In</t>
        </is>
      </c>
      <c r="D67" t="inlineStr">
        <is>
          <t>Routine</t>
        </is>
      </c>
      <c r="F67" t="inlineStr">
        <is>
          <t>Auditor A</t>
        </is>
      </c>
      <c r="G67" t="n">
        <v>10</v>
      </c>
      <c r="H67" t="n">
        <v>10</v>
      </c>
      <c r="J67" s="3">
        <f>H67/G67</f>
        <v/>
      </c>
      <c r="K67">
        <f>IF(J67&gt;=0.9,"Pass","Fail")</f>
        <v/>
      </c>
      <c r="L67">
        <f>TEXT(B67,"yyyy-mm")</f>
        <v/>
      </c>
      <c r="M67">
        <f>IF(AND(D67="Routine",K67="Fail"),IF(COUNTIFS($E$2:$E$72,A67,$K$2:$K$72,"Pass")&gt;0,"Closed",IF(COUNTIFS($E$2:$E$72,A67)&gt;0,"Re-failed","Awaiting confirmation")),"")</f>
        <v/>
      </c>
    </row>
    <row r="68">
      <c r="A68" t="inlineStr">
        <is>
          <t>A067</t>
        </is>
      </c>
      <c r="B68" s="2" t="n">
        <v>46300</v>
      </c>
      <c r="C68" t="inlineStr">
        <is>
          <t>Picking</t>
        </is>
      </c>
      <c r="D68" t="inlineStr">
        <is>
          <t>Routine</t>
        </is>
      </c>
      <c r="F68" t="inlineStr">
        <is>
          <t>Auditor A</t>
        </is>
      </c>
      <c r="G68" t="n">
        <v>10</v>
      </c>
      <c r="H68" t="n">
        <v>9</v>
      </c>
      <c r="J68" s="3">
        <f>H68/G68</f>
        <v/>
      </c>
      <c r="K68">
        <f>IF(J68&gt;=0.9,"Pass","Fail")</f>
        <v/>
      </c>
      <c r="L68">
        <f>TEXT(B68,"yyyy-mm")</f>
        <v/>
      </c>
      <c r="M68">
        <f>IF(AND(D68="Routine",K68="Fail"),IF(COUNTIFS($E$2:$E$72,A68,$K$2:$K$72,"Pass")&gt;0,"Closed",IF(COUNTIFS($E$2:$E$72,A68)&gt;0,"Re-failed","Awaiting confirmation")),"")</f>
        <v/>
      </c>
    </row>
    <row r="69">
      <c r="A69" t="inlineStr">
        <is>
          <t>A068</t>
        </is>
      </c>
      <c r="B69" s="2" t="n">
        <v>46301</v>
      </c>
      <c r="C69" t="inlineStr">
        <is>
          <t>Returns</t>
        </is>
      </c>
      <c r="D69" t="inlineStr">
        <is>
          <t>Confirmation</t>
        </is>
      </c>
      <c r="E69" t="inlineStr">
        <is>
          <t>A062</t>
        </is>
      </c>
      <c r="F69" t="inlineStr">
        <is>
          <t>Auditor A</t>
        </is>
      </c>
      <c r="G69" t="n">
        <v>12</v>
      </c>
      <c r="H69" t="n">
        <v>11</v>
      </c>
      <c r="J69" s="3">
        <f>H69/G69</f>
        <v/>
      </c>
      <c r="K69">
        <f>IF(J69&gt;=0.9,"Pass","Fail")</f>
        <v/>
      </c>
      <c r="L69">
        <f>TEXT(B69,"yyyy-mm")</f>
        <v/>
      </c>
      <c r="M69">
        <f>IF(AND(D69="Routine",K69="Fail"),IF(COUNTIFS($E$2:$E$72,A69,$K$2:$K$72,"Pass")&gt;0,"Closed",IF(COUNTIFS($E$2:$E$72,A69)&gt;0,"Re-failed","Awaiting confirmation")),"")</f>
        <v/>
      </c>
    </row>
    <row r="70">
      <c r="A70" t="inlineStr">
        <is>
          <t>A069</t>
        </is>
      </c>
      <c r="B70" s="2" t="n">
        <v>46304</v>
      </c>
      <c r="C70" t="inlineStr">
        <is>
          <t>Despatch</t>
        </is>
      </c>
      <c r="D70" t="inlineStr">
        <is>
          <t>Routine</t>
        </is>
      </c>
      <c r="F70" t="inlineStr">
        <is>
          <t>Auditor B</t>
        </is>
      </c>
      <c r="G70" t="n">
        <v>12</v>
      </c>
      <c r="H70" t="n">
        <v>12</v>
      </c>
      <c r="J70" s="3">
        <f>H70/G70</f>
        <v/>
      </c>
      <c r="K70">
        <f>IF(J70&gt;=0.9,"Pass","Fail")</f>
        <v/>
      </c>
      <c r="L70">
        <f>TEXT(B70,"yyyy-mm")</f>
        <v/>
      </c>
      <c r="M70">
        <f>IF(AND(D70="Routine",K70="Fail"),IF(COUNTIFS($E$2:$E$72,A70,$K$2:$K$72,"Pass")&gt;0,"Closed",IF(COUNTIFS($E$2:$E$72,A70)&gt;0,"Re-failed","Awaiting confirmation")),"")</f>
        <v/>
      </c>
    </row>
    <row r="71">
      <c r="A71" t="inlineStr">
        <is>
          <t>A070</t>
        </is>
      </c>
      <c r="B71" s="2" t="n">
        <v>46304</v>
      </c>
      <c r="C71" t="inlineStr">
        <is>
          <t>Returns</t>
        </is>
      </c>
      <c r="D71" t="inlineStr">
        <is>
          <t>Routine</t>
        </is>
      </c>
      <c r="F71" t="inlineStr">
        <is>
          <t>Auditor B</t>
        </is>
      </c>
      <c r="G71" t="n">
        <v>20</v>
      </c>
      <c r="H71" t="n">
        <v>17</v>
      </c>
      <c r="I71" t="inlineStr">
        <is>
          <t>Late processing</t>
        </is>
      </c>
      <c r="J71" s="3">
        <f>H71/G71</f>
        <v/>
      </c>
      <c r="K71">
        <f>IF(J71&gt;=0.9,"Pass","Fail")</f>
        <v/>
      </c>
      <c r="L71">
        <f>TEXT(B71,"yyyy-mm")</f>
        <v/>
      </c>
      <c r="M71">
        <f>IF(AND(D71="Routine",K71="Fail"),IF(COUNTIFS($E$2:$E$72,A71,$K$2:$K$72,"Pass")&gt;0,"Closed",IF(COUNTIFS($E$2:$E$72,A71)&gt;0,"Re-failed","Awaiting confirmation")),"")</f>
        <v/>
      </c>
    </row>
    <row r="72">
      <c r="A72" t="inlineStr">
        <is>
          <t>A071</t>
        </is>
      </c>
      <c r="B72" s="2" t="n">
        <v>46317</v>
      </c>
      <c r="C72" t="inlineStr">
        <is>
          <t>Returns</t>
        </is>
      </c>
      <c r="D72" t="inlineStr">
        <is>
          <t>Confirmation</t>
        </is>
      </c>
      <c r="E72" t="inlineStr">
        <is>
          <t>A070</t>
        </is>
      </c>
      <c r="F72" t="inlineStr">
        <is>
          <t>Auditor B</t>
        </is>
      </c>
      <c r="G72" t="n">
        <v>20</v>
      </c>
      <c r="H72" t="n">
        <v>17</v>
      </c>
      <c r="I72" t="inlineStr">
        <is>
          <t>Reason code missing</t>
        </is>
      </c>
      <c r="J72" s="3">
        <f>H72/G72</f>
        <v/>
      </c>
      <c r="K72">
        <f>IF(J72&gt;=0.9,"Pass","Fail")</f>
        <v/>
      </c>
      <c r="L72">
        <f>TEXT(B72,"yyyy-mm")</f>
        <v/>
      </c>
      <c r="M72">
        <f>IF(AND(D72="Routine",K72="Fail"),IF(COUNTIFS($E$2:$E$72,A72,$K$2:$K$72,"Pass")&gt;0,"Closed",IF(COUNTIFS($E$2:$E$72,A72)&gt;0,"Re-failed","Awaiting confirmation")),"")</f>
        <v/>
      </c>
    </row>
  </sheetData>
  <autoFilter ref="A1:M72"/>
  <conditionalFormatting sqref="K2:K72">
    <cfRule type="cellIs" priority="1" operator="equal" dxfId="0">
      <formula>"Fail"</formula>
    </cfRule>
    <cfRule type="cellIs" priority="2" operator="equal" dxfId="1">
      <formula>"Pass"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Audit summary (fictional sample data)</t>
        </is>
      </c>
    </row>
    <row r="2">
      <c r="A2" t="inlineStr">
        <is>
          <t>Pass mark</t>
        </is>
      </c>
      <c r="B2" s="3" t="n">
        <v>0.9</v>
      </c>
      <c r="C2" t="inlineStr">
        <is>
          <t>(change in Audit Log formulas if the standard differs)</t>
        </is>
      </c>
    </row>
    <row r="4">
      <c r="A4" s="5" t="inlineStr">
        <is>
          <t>By area</t>
        </is>
      </c>
      <c r="B4" s="5" t="inlineStr">
        <is>
          <t>Audits</t>
        </is>
      </c>
      <c r="C4" s="5" t="inlineStr">
        <is>
          <t>Passed</t>
        </is>
      </c>
      <c r="D4" s="5" t="inlineStr">
        <is>
          <t>Failed</t>
        </is>
      </c>
      <c r="E4" s="5" t="inlineStr">
        <is>
          <t>Fail rate</t>
        </is>
      </c>
      <c r="F4" s="5" t="inlineStr">
        <is>
          <t>Average pass rate</t>
        </is>
      </c>
    </row>
    <row r="5">
      <c r="A5" t="inlineStr">
        <is>
          <t>Goods In</t>
        </is>
      </c>
      <c r="B5">
        <f>COUNTIFS('Audit Log'!$C$2:$C$72,A5,'Audit Log'!$D$2:$D$72,"Routine")</f>
        <v/>
      </c>
      <c r="C5">
        <f>COUNTIFS('Audit Log'!$C$2:$C$72,A5,'Audit Log'!$D$2:$D$72,"Routine",'Audit Log'!$K$2:$K$72,"Pass")</f>
        <v/>
      </c>
      <c r="D5">
        <f>B5-C5</f>
        <v/>
      </c>
      <c r="E5" s="3">
        <f>IFERROR(D5/B5,0)</f>
        <v/>
      </c>
      <c r="F5" s="3">
        <f>IFERROR(AVERAGEIFS('Audit Log'!$J$2:$J$72,'Audit Log'!$C$2:$C$72,A5,'Audit Log'!$D$2:$D$72,"Routine"),0)</f>
        <v/>
      </c>
    </row>
    <row r="6">
      <c r="A6" t="inlineStr">
        <is>
          <t>Picking</t>
        </is>
      </c>
      <c r="B6">
        <f>COUNTIFS('Audit Log'!$C$2:$C$72,A6,'Audit Log'!$D$2:$D$72,"Routine")</f>
        <v/>
      </c>
      <c r="C6">
        <f>COUNTIFS('Audit Log'!$C$2:$C$72,A6,'Audit Log'!$D$2:$D$72,"Routine",'Audit Log'!$K$2:$K$72,"Pass")</f>
        <v/>
      </c>
      <c r="D6">
        <f>B6-C6</f>
        <v/>
      </c>
      <c r="E6" s="3">
        <f>IFERROR(D6/B6,0)</f>
        <v/>
      </c>
      <c r="F6" s="3">
        <f>IFERROR(AVERAGEIFS('Audit Log'!$J$2:$J$72,'Audit Log'!$C$2:$C$72,A6,'Audit Log'!$D$2:$D$72,"Routine"),0)</f>
        <v/>
      </c>
    </row>
    <row r="7">
      <c r="A7" t="inlineStr">
        <is>
          <t>Despatch</t>
        </is>
      </c>
      <c r="B7">
        <f>COUNTIFS('Audit Log'!$C$2:$C$72,A7,'Audit Log'!$D$2:$D$72,"Routine")</f>
        <v/>
      </c>
      <c r="C7">
        <f>COUNTIFS('Audit Log'!$C$2:$C$72,A7,'Audit Log'!$D$2:$D$72,"Routine",'Audit Log'!$K$2:$K$72,"Pass")</f>
        <v/>
      </c>
      <c r="D7">
        <f>B7-C7</f>
        <v/>
      </c>
      <c r="E7" s="3">
        <f>IFERROR(D7/B7,0)</f>
        <v/>
      </c>
      <c r="F7" s="3">
        <f>IFERROR(AVERAGEIFS('Audit Log'!$J$2:$J$72,'Audit Log'!$C$2:$C$72,A7,'Audit Log'!$D$2:$D$72,"Routine"),0)</f>
        <v/>
      </c>
    </row>
    <row r="8">
      <c r="A8" t="inlineStr">
        <is>
          <t>Returns</t>
        </is>
      </c>
      <c r="B8">
        <f>COUNTIFS('Audit Log'!$C$2:$C$72,A8,'Audit Log'!$D$2:$D$72,"Routine")</f>
        <v/>
      </c>
      <c r="C8">
        <f>COUNTIFS('Audit Log'!$C$2:$C$72,A8,'Audit Log'!$D$2:$D$72,"Routine",'Audit Log'!$K$2:$K$72,"Pass")</f>
        <v/>
      </c>
      <c r="D8">
        <f>B8-C8</f>
        <v/>
      </c>
      <c r="E8" s="3">
        <f>IFERROR(D8/B8,0)</f>
        <v/>
      </c>
      <c r="F8" s="3">
        <f>IFERROR(AVERAGEIFS('Audit Log'!$J$2:$J$72,'Audit Log'!$C$2:$C$72,A8,'Audit Log'!$D$2:$D$72,"Routine"),0)</f>
        <v/>
      </c>
    </row>
    <row r="9">
      <c r="A9" t="inlineStr">
        <is>
          <t>Hazardous Storage</t>
        </is>
      </c>
      <c r="B9">
        <f>COUNTIFS('Audit Log'!$C$2:$C$72,A9,'Audit Log'!$D$2:$D$72,"Routine")</f>
        <v/>
      </c>
      <c r="C9">
        <f>COUNTIFS('Audit Log'!$C$2:$C$72,A9,'Audit Log'!$D$2:$D$72,"Routine",'Audit Log'!$K$2:$K$72,"Pass")</f>
        <v/>
      </c>
      <c r="D9">
        <f>B9-C9</f>
        <v/>
      </c>
      <c r="E9" s="3">
        <f>IFERROR(D9/B9,0)</f>
        <v/>
      </c>
      <c r="F9" s="3">
        <f>IFERROR(AVERAGEIFS('Audit Log'!$J$2:$J$72,'Audit Log'!$C$2:$C$72,A9,'Audit Log'!$D$2:$D$72,"Routine"),0)</f>
        <v/>
      </c>
    </row>
    <row r="10">
      <c r="A10" s="6" t="inlineStr">
        <is>
          <t>Total</t>
        </is>
      </c>
      <c r="B10" s="6">
        <f>SUM(B5:B9)</f>
        <v/>
      </c>
      <c r="C10" s="6">
        <f>SUM(C5:C9)</f>
        <v/>
      </c>
      <c r="D10" s="6">
        <f>SUM(D5:D9)</f>
        <v/>
      </c>
      <c r="E10" s="7">
        <f>IFERROR(D10/B10,0)</f>
        <v/>
      </c>
      <c r="F10" s="7">
        <f>IFERROR(AVERAGEIFS('Audit Log'!$J$2:$J$72,'Audit Log'!$D$2:$D$72,"Routine"),0)</f>
        <v/>
      </c>
    </row>
    <row r="12">
      <c r="A12" s="6" t="inlineStr">
        <is>
          <t>By month (routine audits)</t>
        </is>
      </c>
    </row>
    <row r="13">
      <c r="A13" s="5" t="inlineStr">
        <is>
          <t>Month</t>
        </is>
      </c>
      <c r="B13" s="5" t="inlineStr">
        <is>
          <t>Audits</t>
        </is>
      </c>
      <c r="C13" s="5" t="inlineStr">
        <is>
          <t>Failed</t>
        </is>
      </c>
      <c r="D13" s="5" t="inlineStr">
        <is>
          <t>Fail rate</t>
        </is>
      </c>
      <c r="E13" s="5" t="inlineStr">
        <is>
          <t>Average pass rate</t>
        </is>
      </c>
    </row>
    <row r="14">
      <c r="A14" t="inlineStr">
        <is>
          <t>2026-07</t>
        </is>
      </c>
      <c r="B14">
        <f>COUNTIFS('Audit Log'!$L$2:$L$72,A14,'Audit Log'!$D$2:$D$72,"Routine")</f>
        <v/>
      </c>
      <c r="C14">
        <f>COUNTIFS('Audit Log'!$L$2:$L$72,A14,'Audit Log'!$D$2:$D$72,"Routine",'Audit Log'!$K$2:$K$72,"Fail")</f>
        <v/>
      </c>
      <c r="D14" s="3">
        <f>IFERROR(C14/B14,0)</f>
        <v/>
      </c>
      <c r="E14" s="3">
        <f>IFERROR(AVERAGEIFS('Audit Log'!$J$2:$J$72,'Audit Log'!$L$2:$L$72,A14,'Audit Log'!$D$2:$D$72,"Routine"),0)</f>
        <v/>
      </c>
    </row>
    <row r="15">
      <c r="A15" t="inlineStr">
        <is>
          <t>2026-08</t>
        </is>
      </c>
      <c r="B15">
        <f>COUNTIFS('Audit Log'!$L$2:$L$72,A15,'Audit Log'!$D$2:$D$72,"Routine")</f>
        <v/>
      </c>
      <c r="C15">
        <f>COUNTIFS('Audit Log'!$L$2:$L$72,A15,'Audit Log'!$D$2:$D$72,"Routine",'Audit Log'!$K$2:$K$72,"Fail")</f>
        <v/>
      </c>
      <c r="D15" s="3">
        <f>IFERROR(C15/B15,0)</f>
        <v/>
      </c>
      <c r="E15" s="3">
        <f>IFERROR(AVERAGEIFS('Audit Log'!$J$2:$J$72,'Audit Log'!$L$2:$L$72,A15,'Audit Log'!$D$2:$D$72,"Routine"),0)</f>
        <v/>
      </c>
    </row>
    <row r="16">
      <c r="A16" t="inlineStr">
        <is>
          <t>2026-09</t>
        </is>
      </c>
      <c r="B16">
        <f>COUNTIFS('Audit Log'!$L$2:$L$72,A16,'Audit Log'!$D$2:$D$72,"Routine")</f>
        <v/>
      </c>
      <c r="C16">
        <f>COUNTIFS('Audit Log'!$L$2:$L$72,A16,'Audit Log'!$D$2:$D$72,"Routine",'Audit Log'!$K$2:$K$72,"Fail")</f>
        <v/>
      </c>
      <c r="D16" s="3">
        <f>IFERROR(C16/B16,0)</f>
        <v/>
      </c>
      <c r="E16" s="3">
        <f>IFERROR(AVERAGEIFS('Audit Log'!$J$2:$J$72,'Audit Log'!$L$2:$L$72,A16,'Audit Log'!$D$2:$D$72,"Routine"),0)</f>
        <v/>
      </c>
    </row>
    <row r="17">
      <c r="A17" t="inlineStr">
        <is>
          <t>2026-10</t>
        </is>
      </c>
      <c r="B17">
        <f>COUNTIFS('Audit Log'!$L$2:$L$72,A17,'Audit Log'!$D$2:$D$72,"Routine")</f>
        <v/>
      </c>
      <c r="C17">
        <f>COUNTIFS('Audit Log'!$L$2:$L$72,A17,'Audit Log'!$D$2:$D$72,"Routine",'Audit Log'!$K$2:$K$72,"Fail")</f>
        <v/>
      </c>
      <c r="D17" s="3">
        <f>IFERROR(C17/B17,0)</f>
        <v/>
      </c>
      <c r="E17" s="3">
        <f>IFERROR(AVERAGEIFS('Audit Log'!$J$2:$J$72,'Audit Log'!$L$2:$L$72,A17,'Audit Log'!$D$2:$D$72,"Routine"),0)</f>
        <v/>
      </c>
    </row>
    <row r="19">
      <c r="A19" s="6" t="inlineStr">
        <is>
          <t>Confirmation audits on failed routine audits</t>
        </is>
      </c>
    </row>
    <row r="20">
      <c r="A20" t="inlineStr">
        <is>
          <t>Closed (confirmation passed)</t>
        </is>
      </c>
      <c r="B20">
        <f>COUNTIFS('Audit Log'!$M$2:$M$72,"Closed")</f>
        <v/>
      </c>
    </row>
    <row r="21">
      <c r="A21" t="inlineStr">
        <is>
          <t>Re-failed on confirmation</t>
        </is>
      </c>
      <c r="B21">
        <f>COUNTIFS('Audit Log'!$M$2:$M$72,"Re-failed")</f>
        <v/>
      </c>
    </row>
    <row r="22">
      <c r="A22" t="inlineStr">
        <is>
          <t>Awaiting confirmation</t>
        </is>
      </c>
      <c r="B22">
        <f>COUNTIFS('Audit Log'!$M$2:$M$72,"Awaiting confirmation")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2026-10-14T13:35:59Z</dcterms:created>
  <dcterms:modified xmlns:dcterms="http://purl.org/dc/terms/" xmlns:xsi="http://www.w3.org/2001/XMLSchema-instance" xsi:type="dcterms:W3CDTF">2026-10-14T13:35:59Z</dcterms:modified>
</cp:coreProperties>
</file>